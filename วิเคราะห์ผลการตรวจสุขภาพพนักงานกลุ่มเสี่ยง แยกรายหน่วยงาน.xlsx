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tplc-my.sharepoint.com/personal/660083_pttplc_com/Documents/08 Initiative/Initiative 2026/GSP Well Connect/Kick-Off GSP Well Connect/Web ติดตาม WellConnect/"/>
    </mc:Choice>
  </mc:AlternateContent>
  <xr:revisionPtr revIDLastSave="217" documentId="8_{09DACE05-47C3-4C8E-8535-497AD0F95220}" xr6:coauthVersionLast="47" xr6:coauthVersionMax="47" xr10:uidLastSave="{564CAD79-A8B2-4B33-BFFE-4F91B234FE99}"/>
  <bookViews>
    <workbookView xWindow="-110" yWindow="-110" windowWidth="19420" windowHeight="11500" xr2:uid="{2BB5EF5F-24F7-43B0-8EC0-748F4C206BEC}"/>
  </bookViews>
  <sheets>
    <sheet name="รวม" sheetId="1" r:id="rId1"/>
    <sheet name="ปผ.ยรก." sheetId="2" r:id="rId2"/>
    <sheet name="ปอ.ยรก." sheetId="3" r:id="rId3"/>
    <sheet name="ปต.ยยก." sheetId="4" r:id="rId4"/>
    <sheet name="ปล.ยยก." sheetId="5" r:id="rId5"/>
    <sheet name="ปก.สยก." sheetId="6" r:id="rId6"/>
    <sheet name="คธ.สยก." sheetId="7" r:id="rId7"/>
    <sheet name="บฟ.วบก." sheetId="8" r:id="rId8"/>
    <sheet name="บง.วบก." sheetId="9" r:id="rId9"/>
    <sheet name="บค.วบก." sheetId="10" r:id="rId10"/>
    <sheet name="ตร.วบก." sheetId="11" r:id="rId11"/>
    <sheet name="วก.วบก." sheetId="14" r:id="rId12"/>
    <sheet name="ซญ.วบก." sheetId="12" r:id="rId13"/>
    <sheet name="ผบ.วบก." sheetId="13" r:id="rId14"/>
    <sheet name="วป.วบก." sheetId="15" r:id="rId15"/>
    <sheet name="ปภ.ผยก." sheetId="17" r:id="rId16"/>
    <sheet name="บรก." sheetId="16" r:id="rId17"/>
    <sheet name="ทผก." sheetId="18" r:id="rId18"/>
  </sheets>
  <externalReferences>
    <externalReference r:id="rId19"/>
    <externalReference r:id="rId20"/>
  </externalReferences>
  <definedNames>
    <definedName name="_xlnm._FilterDatabase" localSheetId="12" hidden="1">'ซญ.วบก.'!$A$2:$H$45</definedName>
    <definedName name="_xlnm._FilterDatabase" localSheetId="10" hidden="1">'ตร.วบก.'!$A$2:$H$45</definedName>
    <definedName name="_xlnm._FilterDatabase" localSheetId="17" hidden="1">ทผก.!$A$2:$H$19</definedName>
    <definedName name="_xlnm._FilterDatabase" localSheetId="9" hidden="1">'บค.วบก.'!$A$2:$H$45</definedName>
    <definedName name="_xlnm._FilterDatabase" localSheetId="8" hidden="1">'บง.วบก.'!$A$2:$H$45</definedName>
    <definedName name="_xlnm._FilterDatabase" localSheetId="7" hidden="1">'บฟ.วบก.'!$A$2:$H$45</definedName>
    <definedName name="_xlnm._FilterDatabase" localSheetId="16" hidden="1">บรก.!$A$2:$H$19</definedName>
    <definedName name="_xlnm._FilterDatabase" localSheetId="15" hidden="1">'ปภ.ผยก.'!$A$2:$H$19</definedName>
    <definedName name="_xlnm._FilterDatabase" localSheetId="13" hidden="1">'ผบ.วบก.'!$A$2:$H$45</definedName>
    <definedName name="_xlnm._FilterDatabase" localSheetId="0" hidden="1">รวม!$A$5:$AC$136</definedName>
    <definedName name="_xlnm._FilterDatabase" localSheetId="11" hidden="1">'วก.วบก.'!$A$2:$H$45</definedName>
    <definedName name="_xlnm._FilterDatabase" localSheetId="14" hidden="1">'วป.วบก.'!$A$2:$H$45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6" i="1"/>
  <c r="Y129" i="1" l="1"/>
  <c r="Y123" i="1"/>
  <c r="Y125" i="1"/>
  <c r="Y70" i="1"/>
  <c r="Y82" i="1"/>
  <c r="Y11" i="1"/>
  <c r="Y27" i="1"/>
  <c r="Y28" i="1"/>
  <c r="Y85" i="1"/>
  <c r="Y86" i="1"/>
  <c r="Y97" i="1"/>
  <c r="Y60" i="1"/>
  <c r="Y91" i="1"/>
  <c r="Y132" i="1"/>
  <c r="Y122" i="1"/>
  <c r="Y18" i="1"/>
  <c r="Y106" i="1"/>
  <c r="Y136" i="1"/>
  <c r="Y108" i="1"/>
  <c r="Y95" i="1"/>
  <c r="Y61" i="1"/>
  <c r="Y40" i="1"/>
  <c r="Y23" i="1"/>
  <c r="Y80" i="1"/>
  <c r="Y110" i="1"/>
  <c r="Y36" i="1"/>
  <c r="Y100" i="1"/>
  <c r="Y78" i="1"/>
  <c r="Y133" i="1"/>
  <c r="Y105" i="1"/>
  <c r="Y96" i="1"/>
  <c r="Y30" i="1"/>
  <c r="Y126" i="1"/>
  <c r="Y88" i="1"/>
  <c r="Y38" i="1"/>
  <c r="Y130" i="1"/>
  <c r="Y109" i="1"/>
  <c r="Y10" i="1"/>
  <c r="Y120" i="1"/>
  <c r="Y115" i="1"/>
  <c r="Y89" i="1"/>
  <c r="Y59" i="1"/>
  <c r="Y72" i="1"/>
  <c r="Y14" i="1"/>
  <c r="Y53" i="1"/>
  <c r="Y25" i="1"/>
  <c r="Y76" i="1"/>
  <c r="Y57" i="1"/>
  <c r="Y135" i="1"/>
  <c r="Y124" i="1"/>
  <c r="Y13" i="1"/>
  <c r="Y113" i="1"/>
  <c r="Y104" i="1"/>
  <c r="Y101" i="1"/>
  <c r="Y54" i="1"/>
  <c r="Y116" i="1"/>
  <c r="Y56" i="1"/>
  <c r="Y26" i="1"/>
  <c r="Y66" i="1"/>
  <c r="Y22" i="1"/>
  <c r="Y117" i="1"/>
  <c r="Y128" i="1"/>
  <c r="Y107" i="1"/>
  <c r="Y39" i="1"/>
  <c r="Y58" i="1"/>
  <c r="Y44" i="1"/>
  <c r="Y35" i="1"/>
  <c r="Y74" i="1"/>
  <c r="Y118" i="1"/>
  <c r="Y103" i="1"/>
  <c r="Y68" i="1"/>
  <c r="Y41" i="1"/>
  <c r="Y90" i="1"/>
  <c r="Y31" i="1"/>
  <c r="Y15" i="1"/>
  <c r="Y73" i="1"/>
  <c r="Y67" i="1"/>
  <c r="Y32" i="1"/>
  <c r="Y134" i="1"/>
  <c r="Y77" i="1"/>
  <c r="Y111" i="1"/>
  <c r="Y114" i="1"/>
  <c r="Y34" i="1"/>
  <c r="Y81" i="1"/>
  <c r="Y112" i="1"/>
  <c r="Y99" i="1"/>
  <c r="Y12" i="1"/>
  <c r="Y16" i="1"/>
  <c r="Y63" i="1"/>
  <c r="Y93" i="1"/>
  <c r="Y55" i="1"/>
  <c r="Y119" i="1"/>
  <c r="Y84" i="1"/>
  <c r="Y20" i="1"/>
  <c r="Y65" i="1"/>
  <c r="Y47" i="1"/>
  <c r="Y49" i="1"/>
  <c r="Y21" i="1"/>
  <c r="Y51" i="1"/>
  <c r="Y102" i="1"/>
  <c r="Y42" i="1"/>
  <c r="Y64" i="1"/>
  <c r="Y127" i="1"/>
  <c r="Y52" i="1"/>
  <c r="Y83" i="1"/>
  <c r="Y19" i="1"/>
  <c r="Y79" i="1"/>
  <c r="Y98" i="1"/>
  <c r="Y92" i="1"/>
  <c r="Y33" i="1"/>
  <c r="Y43" i="1"/>
  <c r="Y94" i="1"/>
  <c r="Y46" i="1"/>
  <c r="Y37" i="1"/>
  <c r="Y131" i="1"/>
  <c r="Y69" i="1"/>
  <c r="Y75" i="1"/>
  <c r="Y121" i="1"/>
  <c r="Y48" i="1"/>
  <c r="Y71" i="1"/>
  <c r="Y29" i="1"/>
  <c r="Y87" i="1"/>
  <c r="Y62" i="1"/>
  <c r="Y50" i="1"/>
  <c r="Y45" i="1"/>
  <c r="Y6" i="1" l="1"/>
  <c r="Y9" i="1"/>
  <c r="Y8" i="1"/>
  <c r="Y17" i="1"/>
  <c r="Y24" i="1"/>
  <c r="Y7" i="1"/>
</calcChain>
</file>

<file path=xl/sharedStrings.xml><?xml version="1.0" encoding="utf-8"?>
<sst xmlns="http://schemas.openxmlformats.org/spreadsheetml/2006/main" count="5205" uniqueCount="360">
  <si>
    <t>วิเคราะห์ผลการตรวจสุขภาพพนักงาน ประจำปี 2568</t>
  </si>
  <si>
    <t>เลขประจำตัวพนักงาน</t>
  </si>
  <si>
    <t>คำนำหน้า</t>
  </si>
  <si>
    <t>ชื่อ</t>
  </si>
  <si>
    <t>นามสกุล</t>
  </si>
  <si>
    <t>แผนก</t>
  </si>
  <si>
    <t>กลุ่มงาน</t>
  </si>
  <si>
    <t>เส้นรอบเอว (ซม.)</t>
  </si>
  <si>
    <t>ความเสี่ยง</t>
  </si>
  <si>
    <t>มีความเสี่ยง</t>
  </si>
  <si>
    <t>SBP (มม.ปรอท)</t>
  </si>
  <si>
    <t>DBP (มม.ปรอท)</t>
  </si>
  <si>
    <t>ความดันโลหิต-แปลผล</t>
  </si>
  <si>
    <t>Triglyceride (mg/dL)</t>
  </si>
  <si>
    <t>ไตรกลีเซอไรด์ (TG)-แปลผล</t>
  </si>
  <si>
    <t>HDL (mg/dL)</t>
  </si>
  <si>
    <t>คอเลสเตอรอลชนิด HDL-แปลผล</t>
  </si>
  <si>
    <t>FBS (mg/dL)</t>
  </si>
  <si>
    <t>น้ำตาลในเลือดหลังงดอาหาร (FBS)-แปลผล</t>
  </si>
  <si>
    <t>จำนวนรายการผิดปกติ</t>
  </si>
  <si>
    <t>เสี่ยงภาวะ Metabolic Syndrome</t>
  </si>
  <si>
    <t>นาย</t>
  </si>
  <si>
    <t>ธนวันต์</t>
  </si>
  <si>
    <t>มณีงาม</t>
  </si>
  <si>
    <t>บฟ.วบก.</t>
  </si>
  <si>
    <t>Maintenance</t>
  </si>
  <si>
    <r>
      <rPr>
        <sz val="15"/>
        <rFont val="FreesiaUPC"/>
        <family val="2"/>
      </rPr>
      <t xml:space="preserve">ความดันโลหิตสูง ระดับที่ 1 (BP 140/90-159/99 mmHg) </t>
    </r>
  </si>
  <si>
    <r>
      <rPr>
        <sz val="15"/>
        <rFont val="FreesiaUPC"/>
        <family val="2"/>
      </rPr>
      <t>สูงเล็กน้อย</t>
    </r>
  </si>
  <si>
    <r>
      <rPr>
        <sz val="15"/>
        <rFont val="FreesiaUPC"/>
        <family val="2"/>
      </rPr>
      <t>ต่ำ</t>
    </r>
  </si>
  <si>
    <r>
      <rPr>
        <sz val="15"/>
        <rFont val="FreesiaUPC"/>
        <family val="2"/>
      </rPr>
      <t>สูงกว่าปกติ เสี่ยงต่อโรคเบาหวาน</t>
    </r>
  </si>
  <si>
    <t>ความเสี่ยงสูง</t>
  </si>
  <si>
    <t>วิศรุต</t>
  </si>
  <si>
    <t>ชูวาลา</t>
  </si>
  <si>
    <t>คผ.A ปล.</t>
  </si>
  <si>
    <t>Operation</t>
  </si>
  <si>
    <r>
      <rPr>
        <sz val="15"/>
        <rFont val="FreesiaUPC"/>
        <family val="2"/>
      </rPr>
      <t>ความดันโลหิตเริ่มสูง</t>
    </r>
  </si>
  <si>
    <t>พิชญ์</t>
  </si>
  <si>
    <t>ธิบูรณ์บุญ</t>
  </si>
  <si>
    <t>คพ.ทผก.</t>
  </si>
  <si>
    <t>Support</t>
  </si>
  <si>
    <t>ปฐมพร</t>
  </si>
  <si>
    <t>สีหาเสนา</t>
  </si>
  <si>
    <t>คผ.C ปผ.</t>
  </si>
  <si>
    <r>
      <rPr>
        <sz val="15"/>
        <rFont val="FreesiaUPC"/>
        <family val="2"/>
      </rPr>
      <t>สูง</t>
    </r>
  </si>
  <si>
    <t>เอกกร</t>
  </si>
  <si>
    <t>เพชรเศรษฐ</t>
  </si>
  <si>
    <t>ผ.ปก.C ปอ.</t>
  </si>
  <si>
    <r>
      <rPr>
        <sz val="15"/>
        <rFont val="FreesiaUPC"/>
        <family val="2"/>
      </rPr>
      <t xml:space="preserve">ความดันโลหิตสูง ระดับที่ 2 (BP 160/100-179/109 mmHg) </t>
    </r>
  </si>
  <si>
    <r>
      <rPr>
        <sz val="15"/>
        <rFont val="FreesiaUPC"/>
        <family val="2"/>
      </rPr>
      <t>สูงมาก</t>
    </r>
  </si>
  <si>
    <t>นธี</t>
  </si>
  <si>
    <t>จุฑาธิปไตย</t>
  </si>
  <si>
    <t>คผ.A ปต.</t>
  </si>
  <si>
    <t>ไพแก้ว</t>
  </si>
  <si>
    <t>เล็กน้อย</t>
  </si>
  <si>
    <t>คผ.D ปต.</t>
  </si>
  <si>
    <t>จิรพงศ์</t>
  </si>
  <si>
    <t>รู้แนบเนียน</t>
  </si>
  <si>
    <t>บค.วบก.</t>
  </si>
  <si>
    <r>
      <rPr>
        <sz val="15"/>
        <rFont val="FreesiaUPC"/>
        <family val="2"/>
      </rPr>
      <t>สูงเข้าเกณฑ์โรคเบาหวาน</t>
    </r>
  </si>
  <si>
    <t>สุเทพ</t>
  </si>
  <si>
    <t>ดิษขุนทด</t>
  </si>
  <si>
    <t>บง.วบก.</t>
  </si>
  <si>
    <t>ปรมัตถ์</t>
  </si>
  <si>
    <t>กองแก้ว</t>
  </si>
  <si>
    <r>
      <rPr>
        <sz val="15"/>
        <rFont val="FreesiaUPC"/>
        <family val="2"/>
      </rPr>
      <t>ระดับน้ำตาลในเลือดขณะอดอาหารอยู่ในเกณฑ์ปกติ</t>
    </r>
  </si>
  <si>
    <t>ความเสี่ยงปานกลาง</t>
  </si>
  <si>
    <t>พิชญา</t>
  </si>
  <si>
    <t>สกุลมาก</t>
  </si>
  <si>
    <t>ปารณัท</t>
  </si>
  <si>
    <t>วัชระปรารมย์</t>
  </si>
  <si>
    <r>
      <rPr>
        <sz val="15"/>
        <rFont val="FreesiaUPC"/>
        <family val="2"/>
      </rPr>
      <t>ความดันโลหิตปกติ</t>
    </r>
  </si>
  <si>
    <t>ขจร</t>
  </si>
  <si>
    <t>นุชทรัพย์</t>
  </si>
  <si>
    <t>คผ.B ปล.</t>
  </si>
  <si>
    <r>
      <rPr>
        <sz val="15"/>
        <rFont val="FreesiaUPC"/>
        <family val="2"/>
      </rPr>
      <t>ปกติ</t>
    </r>
  </si>
  <si>
    <t>นาง</t>
  </si>
  <si>
    <t>สุรีย์พันธ์</t>
  </si>
  <si>
    <t>คุณากูลสวัสดิ์</t>
  </si>
  <si>
    <t>กผ.ทผก.</t>
  </si>
  <si>
    <t>ลิขิต</t>
  </si>
  <si>
    <t>ยอดเสน่หา</t>
  </si>
  <si>
    <t>คผ.D ปล.</t>
  </si>
  <si>
    <r>
      <rPr>
        <sz val="15"/>
        <rFont val="FreesiaUPC"/>
        <family val="2"/>
      </rPr>
      <t>ดีมาก</t>
    </r>
  </si>
  <si>
    <t>เมธี</t>
  </si>
  <si>
    <t>ภูศรี</t>
  </si>
  <si>
    <t>อท.บรก.</t>
  </si>
  <si>
    <t>อภิชาติ</t>
  </si>
  <si>
    <t>พูนแก้ว</t>
  </si>
  <si>
    <t>วก.วบก.</t>
  </si>
  <si>
    <t>ฉัตรชัย</t>
  </si>
  <si>
    <t>ห้อยทอง</t>
  </si>
  <si>
    <t>ธนะชัย</t>
  </si>
  <si>
    <t>โชติช่วง</t>
  </si>
  <si>
    <t>คผ.B ปผ.</t>
  </si>
  <si>
    <t>นพพล</t>
  </si>
  <si>
    <t>สร้อยสอิ้ง</t>
  </si>
  <si>
    <t>มานิตย์</t>
  </si>
  <si>
    <t>อารีผล</t>
  </si>
  <si>
    <t>จิตรดิลก</t>
  </si>
  <si>
    <t>ประสิทธิ์เสริฐ</t>
  </si>
  <si>
    <t>ตร.วบก.</t>
  </si>
  <si>
    <t>มาโนช</t>
  </si>
  <si>
    <t>ประดับเพ็ชร</t>
  </si>
  <si>
    <t>วสันต์</t>
  </si>
  <si>
    <t>ว่องวิกาล</t>
  </si>
  <si>
    <t>คผ.C ปล.</t>
  </si>
  <si>
    <t>นางสาว</t>
  </si>
  <si>
    <t>ปรัชญาพร</t>
  </si>
  <si>
    <t>อ่องลออ</t>
  </si>
  <si>
    <t>วป.วบก.</t>
  </si>
  <si>
    <t>ศุภวิชญ์</t>
  </si>
  <si>
    <t>บุญช่วย</t>
  </si>
  <si>
    <t>ทน.ทผก.</t>
  </si>
  <si>
    <t>นำโชค</t>
  </si>
  <si>
    <t>โรยนรินทร์</t>
  </si>
  <si>
    <t>ผ.ปก.A ปอ.</t>
  </si>
  <si>
    <t>กมลวัต</t>
  </si>
  <si>
    <t>กมลพรสิริกุล</t>
  </si>
  <si>
    <t>คผ.A ปผ.</t>
  </si>
  <si>
    <t>อนุวัฒน์</t>
  </si>
  <si>
    <t>ทองเสริม</t>
  </si>
  <si>
    <t>คผ.D ปผ.</t>
  </si>
  <si>
    <t>ศิริกมล</t>
  </si>
  <si>
    <t>บัวเผื่อน</t>
  </si>
  <si>
    <t>ดำรงค์</t>
  </si>
  <si>
    <t>คงสมบูรณ์</t>
  </si>
  <si>
    <t>อนันทชา</t>
  </si>
  <si>
    <t>ชาญฉลาด</t>
  </si>
  <si>
    <t>ปาณเศรษฐ์</t>
  </si>
  <si>
    <t>โสภา</t>
  </si>
  <si>
    <t>เอนก</t>
  </si>
  <si>
    <t>พวยอ้วน</t>
  </si>
  <si>
    <t>ธีระวิทย์</t>
  </si>
  <si>
    <t>โควงค์</t>
  </si>
  <si>
    <t>ภานุพัฒน์</t>
  </si>
  <si>
    <t>สุขศิริ</t>
  </si>
  <si>
    <t>ผ.บพ.พย.</t>
  </si>
  <si>
    <t>ภูมิพงศ์</t>
  </si>
  <si>
    <t>ราชรักษ์</t>
  </si>
  <si>
    <t>วผ.ทผก.</t>
  </si>
  <si>
    <t>ไพฑูรย์</t>
  </si>
  <si>
    <t>พรมโว</t>
  </si>
  <si>
    <t>ผ.ปก.A ปก.</t>
  </si>
  <si>
    <t>ศิริพจน์</t>
  </si>
  <si>
    <t>ปิณฑะศิริ</t>
  </si>
  <si>
    <t>ผ.ปก.A คธ.</t>
  </si>
  <si>
    <t>ไสยสุข</t>
  </si>
  <si>
    <t>ผ.ปก.D ปอ.</t>
  </si>
  <si>
    <t>อัครพล</t>
  </si>
  <si>
    <t>อรัณยะนาค</t>
  </si>
  <si>
    <t>รัชพงศ์</t>
  </si>
  <si>
    <t>พันธุมวรรณ</t>
  </si>
  <si>
    <t>ผ.ปก.B คธ.</t>
  </si>
  <si>
    <t>จักร์พันธุ์</t>
  </si>
  <si>
    <t>บุญธรรม</t>
  </si>
  <si>
    <t>คผ.B ปต.</t>
  </si>
  <si>
    <t>กฤษณะ</t>
  </si>
  <si>
    <t>รักษาสุข</t>
  </si>
  <si>
    <t>กฤษญานนท์</t>
  </si>
  <si>
    <t>คำวิชัย</t>
  </si>
  <si>
    <t>ทวี</t>
  </si>
  <si>
    <t>ใบโพธิ์</t>
  </si>
  <si>
    <t>ผ.ปก.D ปก.</t>
  </si>
  <si>
    <t>วิทูร</t>
  </si>
  <si>
    <t>วิงกระโทก</t>
  </si>
  <si>
    <t>ผดุงเดช</t>
  </si>
  <si>
    <t>สุขสุวรรณ</t>
  </si>
  <si>
    <t>รุ่งเรือง</t>
  </si>
  <si>
    <t>ศรีวิเศษ</t>
  </si>
  <si>
    <t>ทวีสิทธิ์</t>
  </si>
  <si>
    <t>แสงขุรัง</t>
  </si>
  <si>
    <t>ปกติ</t>
  </si>
  <si>
    <t>ชัยวัฒน์</t>
  </si>
  <si>
    <t>หนูหอม</t>
  </si>
  <si>
    <t>ธนพนธ์</t>
  </si>
  <si>
    <t>วิสารทกุล</t>
  </si>
  <si>
    <t>ซญ.วบก.</t>
  </si>
  <si>
    <t>กิติศักดิ์</t>
  </si>
  <si>
    <t>เบญจพลาภรณ์</t>
  </si>
  <si>
    <t>ภัทรวิทย์</t>
  </si>
  <si>
    <t>อุปถัมภ์</t>
  </si>
  <si>
    <t>สุรศักดิ์</t>
  </si>
  <si>
    <t>นเรนสด</t>
  </si>
  <si>
    <t>นิวัฒน์</t>
  </si>
  <si>
    <t>หิงสันเทียะ</t>
  </si>
  <si>
    <r>
      <rPr>
        <sz val="15"/>
        <rFont val="FreesiaUPC"/>
        <family val="2"/>
      </rPr>
      <t>ความดันโลหิตสูงรุนแรง (หรือระดับที่ 3 (BP ≥ 180/110 mmHg))</t>
    </r>
  </si>
  <si>
    <t>พรชัย</t>
  </si>
  <si>
    <t>จันทร์อุดมสุข</t>
  </si>
  <si>
    <t>กอบศักดิ์</t>
  </si>
  <si>
    <t>แซ่กอ</t>
  </si>
  <si>
    <t>ชิด</t>
  </si>
  <si>
    <t>ใจมั่น</t>
  </si>
  <si>
    <t>สหรัฐ</t>
  </si>
  <si>
    <t>เจริญสุข</t>
  </si>
  <si>
    <t>เกตุศักดา</t>
  </si>
  <si>
    <t>หวานเหนือ</t>
  </si>
  <si>
    <t>พิชัยกานต์</t>
  </si>
  <si>
    <t>ห้วยหงษ์ทอง</t>
  </si>
  <si>
    <t>พรศักดิ์</t>
  </si>
  <si>
    <t>แสงรัศมีมรกต</t>
  </si>
  <si>
    <t>เสรีศักดิ์</t>
  </si>
  <si>
    <t>ทาศรี</t>
  </si>
  <si>
    <t>ชาญณรงค์</t>
  </si>
  <si>
    <t>บุญฤทธิ์</t>
  </si>
  <si>
    <t>กรภัทร</t>
  </si>
  <si>
    <t>เลาหกุลวุฒิ</t>
  </si>
  <si>
    <t>ศุภฤกษ์</t>
  </si>
  <si>
    <t>เนคมานุรักษ์</t>
  </si>
  <si>
    <t>วรพล</t>
  </si>
  <si>
    <t>แสงเพชร</t>
  </si>
  <si>
    <t>พีระยุทธ</t>
  </si>
  <si>
    <t>กิจนพเก้า</t>
  </si>
  <si>
    <t>กฤษรา</t>
  </si>
  <si>
    <t>คงนวล</t>
  </si>
  <si>
    <t>ผ.จด.พย.</t>
  </si>
  <si>
    <t>อวสันต์</t>
  </si>
  <si>
    <t>สารสอน</t>
  </si>
  <si>
    <t>พลัฏฐ์</t>
  </si>
  <si>
    <t>สินศิวพร</t>
  </si>
  <si>
    <t>ธีระวัฒน์</t>
  </si>
  <si>
    <t>ตุ่มแก้ว</t>
  </si>
  <si>
    <t>ชรัณพงษ์</t>
  </si>
  <si>
    <t>คล้ายลำเจียก</t>
  </si>
  <si>
    <t>ฐานันดร</t>
  </si>
  <si>
    <t>สิทธิบุตร</t>
  </si>
  <si>
    <t>อภิเชษฐ</t>
  </si>
  <si>
    <t>รัตบุตร</t>
  </si>
  <si>
    <t>รส.บรก.</t>
  </si>
  <si>
    <t>วรพงค์</t>
  </si>
  <si>
    <t>ปวงคำ</t>
  </si>
  <si>
    <t>คณพล</t>
  </si>
  <si>
    <t>หมื่นไกรทอง</t>
  </si>
  <si>
    <t>อัมเรศ</t>
  </si>
  <si>
    <t>สีนวล</t>
  </si>
  <si>
    <t>บุญส่ง</t>
  </si>
  <si>
    <t>แฮะประโคน</t>
  </si>
  <si>
    <t>นนทิญา</t>
  </si>
  <si>
    <t>ช่อทอง</t>
  </si>
  <si>
    <t>กช.บรก.</t>
  </si>
  <si>
    <t>เรวัติ</t>
  </si>
  <si>
    <t>สมบูรณ์มาก</t>
  </si>
  <si>
    <t>ทนงศักดิ์</t>
  </si>
  <si>
    <t>โอชะกุล</t>
  </si>
  <si>
    <t>ณัฐพล</t>
  </si>
  <si>
    <t>กล้าเกิดผล</t>
  </si>
  <si>
    <t>วิจิตรจินดา</t>
  </si>
  <si>
    <t>คงนาค</t>
  </si>
  <si>
    <t>ณัฐพงศ์</t>
  </si>
  <si>
    <t>แก้วทับทิม</t>
  </si>
  <si>
    <t>เกิดแสง</t>
  </si>
  <si>
    <t>ผ.ปก.B ปก.</t>
  </si>
  <si>
    <t>เอกราช</t>
  </si>
  <si>
    <t>ดีประเสริฐชัยกุล</t>
  </si>
  <si>
    <t>ชนทัต</t>
  </si>
  <si>
    <t>สหะวงศ์วัฒนา</t>
  </si>
  <si>
    <t>อนิรุธ</t>
  </si>
  <si>
    <t>คงตาล</t>
  </si>
  <si>
    <t>คนึง</t>
  </si>
  <si>
    <t>อิ่มสมบูรณ์</t>
  </si>
  <si>
    <t>สุวัฒน์</t>
  </si>
  <si>
    <t>จันทร์ปุย</t>
  </si>
  <si>
    <t>สุริยพงษ์</t>
  </si>
  <si>
    <t>ดวงทองพล</t>
  </si>
  <si>
    <t>กิตติชัย</t>
  </si>
  <si>
    <t>หงษ์ทอง</t>
  </si>
  <si>
    <t>สมเกียรติ์</t>
  </si>
  <si>
    <t>เพ็ญศรี</t>
  </si>
  <si>
    <t>ภานุวัฒน์</t>
  </si>
  <si>
    <t>โต๊ะสกุล</t>
  </si>
  <si>
    <t>กิตติ</t>
  </si>
  <si>
    <t>ปิ่นแก้ว</t>
  </si>
  <si>
    <t>โอฬาร</t>
  </si>
  <si>
    <t>ศรีมงคล</t>
  </si>
  <si>
    <t>ผ.ปก.C ปก.</t>
  </si>
  <si>
    <t>รณชัย</t>
  </si>
  <si>
    <t>ยุทธสุขประเสริฐ</t>
  </si>
  <si>
    <t>คผ.C ปต.</t>
  </si>
  <si>
    <t>ณัฐวุฒิ</t>
  </si>
  <si>
    <t>ปิยะประชากร</t>
  </si>
  <si>
    <t>ปภ.ผยก.</t>
  </si>
  <si>
    <t>เบญจพร</t>
  </si>
  <si>
    <t>พุ่มลำเจียก</t>
  </si>
  <si>
    <t>พน.บรก.</t>
  </si>
  <si>
    <t>ทศพร</t>
  </si>
  <si>
    <t>ทองมา</t>
  </si>
  <si>
    <t>พัฒนพงษ์</t>
  </si>
  <si>
    <t>กรองสโรชกุล</t>
  </si>
  <si>
    <t>อนุพงษ์</t>
  </si>
  <si>
    <t>สีหะวงษ์</t>
  </si>
  <si>
    <t>จตุรงค์</t>
  </si>
  <si>
    <t>ผ่องสุวรรณ</t>
  </si>
  <si>
    <t>สุนทร</t>
  </si>
  <si>
    <t>ฤทธิ์คำรพ</t>
  </si>
  <si>
    <t>กฤษชัย</t>
  </si>
  <si>
    <t>ก้านขุนทด</t>
  </si>
  <si>
    <t>จิราวุฒิ</t>
  </si>
  <si>
    <t>มหาโยธิน</t>
  </si>
  <si>
    <t>อรรถพล</t>
  </si>
  <si>
    <t>พานิชนาวา</t>
  </si>
  <si>
    <t>ชานนท์</t>
  </si>
  <si>
    <t>บุญยิ่งเหลือ</t>
  </si>
  <si>
    <t>อณัศกรณ์</t>
  </si>
  <si>
    <t>อธิพัฒน์เตชิน</t>
  </si>
  <si>
    <t>ผบ.วบก.</t>
  </si>
  <si>
    <t>สมพงศ์</t>
  </si>
  <si>
    <t>หนองน้อย</t>
  </si>
  <si>
    <t>ปิยะ</t>
  </si>
  <si>
    <t>เงินกระโทก</t>
  </si>
  <si>
    <t>ฐีระ</t>
  </si>
  <si>
    <t>ประยูรพิทักษ์</t>
  </si>
  <si>
    <t>นพรัตน์</t>
  </si>
  <si>
    <t>พวงแก้ว</t>
  </si>
  <si>
    <t>อัครเดช</t>
  </si>
  <si>
    <t>เดชะเทศ</t>
  </si>
  <si>
    <t>วิสูตร</t>
  </si>
  <si>
    <t>พรมชาวเฉียง</t>
  </si>
  <si>
    <t>วัชราวุฒ</t>
  </si>
  <si>
    <t>ปรีแผ้ว</t>
  </si>
  <si>
    <t>กลุ่มความเสี่ยงหลอดเลือดหัวใจและสมองใน 10 ปี</t>
  </si>
  <si>
    <t>นที</t>
  </si>
  <si>
    <t>กนิษฐสุนทร</t>
  </si>
  <si>
    <t>อำนาจ</t>
  </si>
  <si>
    <t>ด้วงจุ้ย</t>
  </si>
  <si>
    <t>ปล.ยยก.</t>
  </si>
  <si>
    <t>อุดม</t>
  </si>
  <si>
    <t>ดิลก</t>
  </si>
  <si>
    <t>แป้นเนียม</t>
  </si>
  <si>
    <t>เกษตรธรรม</t>
  </si>
  <si>
    <t>ติรวัฒนา</t>
  </si>
  <si>
    <t>คุ้มวงศ์ดี</t>
  </si>
  <si>
    <t>ณฐกร</t>
  </si>
  <si>
    <t>เกตุสกุล</t>
  </si>
  <si>
    <t>ธงชัย</t>
  </si>
  <si>
    <t>ช่างสากล</t>
  </si>
  <si>
    <t>ถวิล</t>
  </si>
  <si>
    <t>ปาปะแพ</t>
  </si>
  <si>
    <t>โชคชัย</t>
  </si>
  <si>
    <t>เต๊ะขันหมาก</t>
  </si>
  <si>
    <t>ปต.ยยก.</t>
  </si>
  <si>
    <t>อินทรัตถ์</t>
  </si>
  <si>
    <t>ทั่วทิพย์</t>
  </si>
  <si>
    <t>นาวิน</t>
  </si>
  <si>
    <t>ผลสว่าง</t>
  </si>
  <si>
    <t>ธนิต</t>
  </si>
  <si>
    <t>สุขสำราญ</t>
  </si>
  <si>
    <t>ความเสี่ยงน้อย</t>
  </si>
  <si>
    <t>ความเสี่ยงต่ำ</t>
  </si>
  <si>
    <t>ความเสี่ยงต่อการเกิดภาวะ Metabolic Syndrome พิจารณา 5 ปัจจัย ได้แก่ เส้นรอบเอว, ความดันโลหิต, TG, ไขมันดี HDL และระดับน้ำตาลในเลือด ผิดปกติ 3 ใน 5 ของปัจจัย &gt; เสี่ยงต่อภาวะ Metabolic Syndrome</t>
  </si>
  <si>
    <t xml:space="preserve">กลุ่มความเสี่ยงหลอดเลือดหัวใจและสมองใน 10 ปี พิจารณาอายุ, เพศ, การสูบบุหรี่, โรคเบาหวาน, ความดันโลหิต และคลอเรสเตอรอล </t>
  </si>
  <si>
    <t>พนักงาน 540 คน</t>
  </si>
  <si>
    <t>การมีส่วนร่วมในกิจกรรมส่งเสริมสุขภาพ 2569</t>
  </si>
  <si>
    <t>Kick-Off GSP WellConnect</t>
  </si>
  <si>
    <t>จัดทำ Personal Plan</t>
  </si>
  <si>
    <t>Follow-Up การดำเนินงาน 3 เดือนที่ผ่านมา</t>
  </si>
  <si>
    <t>เข้าร่วม GSP Fit Possible</t>
  </si>
  <si>
    <t>เข้าร่วม</t>
  </si>
  <si>
    <t>ดำเนินการแล้วเสร็จ</t>
  </si>
  <si>
    <t>เปอร์เซ็นต์การมีส่วนร่วม</t>
  </si>
  <si>
    <t>ยังไม่ดำเนินการ</t>
  </si>
  <si>
    <t>ไม่เข้าร่วม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</si>
</sst>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12" x14ac:knownFonts="1">
    <font>
      <sz val="11"/>
      <color theme="1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5"/>
      <color theme="1"/>
      <name val="FreesiaUPC"/>
      <family val="2"/>
    </font>
    <font>
      <sz val="15"/>
      <color theme="1"/>
      <name val="FreesiaUPC"/>
      <family val="2"/>
    </font>
    <font>
      <sz val="15"/>
      <color rgb="FF0000FF"/>
      <name val="FreesiaUPC"/>
      <family val="2"/>
    </font>
    <font>
      <b/>
      <i/>
      <sz val="15"/>
      <name val="FreesiaUPC"/>
      <family val="2"/>
    </font>
    <font>
      <sz val="15"/>
      <name val="FreesiaUPC"/>
      <family val="2"/>
    </font>
    <font>
      <sz val="16"/>
      <color theme="1"/>
      <name val="FreesiaUPC"/>
      <family val="2"/>
    </font>
    <font>
      <b/>
      <sz val="16"/>
      <color theme="1"/>
      <name val="FreesiaUPC"/>
      <family val="2"/>
    </font>
    <font>
      <sz val="16"/>
      <color rgb="FF00B050"/>
      <name val="FreesiaUPC"/>
      <family val="2"/>
    </font>
    <font>
      <sz val="8"/>
      <name val="Aptos Narrow"/>
      <family val="2"/>
      <charset val="222"/>
      <scheme val="minor"/>
    </font>
    <font>
      <sz val="11"/>
      <color rgb="FF00B050"/>
      <name val="Aptos Narrow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</cellXfs>
  <cellStyles count="2">
    <cellStyle name="Explanatory Text" xfId="1" builtinId="53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60083\AppData\Local\Microsoft\Windows\INetCache\Content.Outlook\TG4O3DE3\8.&#3629;&#3633;&#3605;&#3619;&#3634;&#3585;&#3635;&#3621;&#3633;&#3591;.%20GSP%20&#3626;.&#3588;.69.xlsx" TargetMode="External"/><Relationship Id="rId1" Type="http://schemas.openxmlformats.org/officeDocument/2006/relationships/externalLinkPath" Target="file:///C:\Users\660083\AppData\Local\Microsoft\Windows\INetCache\Content.Outlook\TG4O3DE3\8.&#3629;&#3633;&#3605;&#3619;&#3634;&#3585;&#3635;&#3621;&#3633;&#3591;.%20GSP%20&#3626;.&#3588;.6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tplc-my.sharepoint.com/personal/660083_pttplc_com/Documents/02%20Health%20-%20Neay/01%20&#3605;&#3619;&#3623;&#3592;&#3626;&#3640;&#3586;&#3616;&#3634;&#3614;/&#3605;&#3619;&#3623;&#3592;&#3626;&#3640;&#3586;&#3616;&#3634;&#3614;&#3611;&#3619;&#3632;&#3592;&#3635;&#3611;&#3637;/10%20&#3612;&#3621;&#3605;&#3619;&#3623;&#3592;&#3626;&#3640;&#3586;&#3616;&#3634;&#3614;/&#3612;&#3621;&#3605;&#3619;&#3623;&#3592;&#3626;&#3640;&#3586;&#3616;&#3634;&#3614;%202568/&#3623;&#3636;&#3648;&#3588;&#3619;&#3634;&#3632;&#3627;&#3660;&#3612;&#3621;&#3585;&#3634;&#3619;&#3605;&#3619;&#3623;&#3592;&#3626;&#3640;&#3586;&#3616;&#3634;&#3614;%20&#3611;&#3619;&#3632;&#3592;&#3635;&#3611;&#3637;%202568.xlsx" TargetMode="External"/><Relationship Id="rId1" Type="http://schemas.openxmlformats.org/officeDocument/2006/relationships/externalLinkPath" Target="/personal/660083_pttplc_com/Documents/02%20Health%20-%20Neay/01%20&#3605;&#3619;&#3623;&#3592;&#3626;&#3640;&#3586;&#3616;&#3634;&#3614;/&#3605;&#3619;&#3623;&#3592;&#3626;&#3640;&#3586;&#3616;&#3634;&#3614;&#3611;&#3619;&#3632;&#3592;&#3635;&#3611;&#3637;/10%20&#3612;&#3621;&#3605;&#3619;&#3623;&#3592;&#3626;&#3640;&#3586;&#3616;&#3634;&#3614;/&#3612;&#3621;&#3605;&#3619;&#3623;&#3592;&#3626;&#3640;&#3586;&#3616;&#3634;&#3614;%202568/&#3623;&#3636;&#3648;&#3588;&#3619;&#3634;&#3632;&#3627;&#3660;&#3612;&#3621;&#3585;&#3634;&#3619;&#3605;&#3619;&#3623;&#3592;&#3626;&#3640;&#3586;&#3616;&#3634;&#3614;%20&#3611;&#3619;&#3632;&#3592;&#3635;&#3611;&#3637;%2025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SP"/>
      <sheetName val="Chart"/>
      <sheetName val="สรุปจำนวน พนักงาน "/>
      <sheetName val="ผยก."/>
      <sheetName val="บรก."/>
      <sheetName val="วบก."/>
      <sheetName val="ทผก."/>
      <sheetName val="ยรก."/>
      <sheetName val="ยยก."/>
      <sheetName val="สยก."/>
      <sheetName val="ยกก."/>
      <sheetName val="บอก."/>
      <sheetName val="ยขก."/>
      <sheetName val="ผังรายชื่อ"/>
    </sheetNames>
    <sheetDataSet>
      <sheetData sheetId="0">
        <row r="1">
          <cell r="B1" t="str">
            <v>รหัสพนักงาน</v>
          </cell>
          <cell r="C1" t="str">
            <v>คำนำหน้าชื่อ</v>
          </cell>
          <cell r="D1" t="str">
            <v>ยศทหารตำรวจ</v>
          </cell>
          <cell r="E1" t="str">
            <v>ชื่อ</v>
          </cell>
          <cell r="F1" t="str">
            <v>สกุล</v>
          </cell>
          <cell r="G1" t="str">
            <v>ชื่อย่อหน่วยงาน</v>
          </cell>
        </row>
        <row r="2">
          <cell r="B2">
            <v>320040</v>
          </cell>
          <cell r="C2" t="str">
            <v>นาย</v>
          </cell>
          <cell r="E2" t="str">
            <v>สรไนย</v>
          </cell>
          <cell r="F2" t="str">
            <v>เลิศอักษร</v>
          </cell>
          <cell r="G2" t="str">
            <v>ผยก.</v>
          </cell>
        </row>
        <row r="3">
          <cell r="B3">
            <v>490196</v>
          </cell>
          <cell r="C3" t="str">
            <v>นาย</v>
          </cell>
          <cell r="E3" t="str">
            <v>โอมฤทธิ์</v>
          </cell>
          <cell r="F3" t="str">
            <v>หาระบุตร</v>
          </cell>
          <cell r="G3" t="str">
            <v>ยกก.</v>
          </cell>
        </row>
        <row r="4">
          <cell r="B4">
            <v>350062</v>
          </cell>
          <cell r="C4" t="str">
            <v>นาย</v>
          </cell>
          <cell r="E4" t="str">
            <v>ยุทธนา</v>
          </cell>
          <cell r="F4" t="str">
            <v>อ่ำกลิ่น</v>
          </cell>
          <cell r="G4" t="str">
            <v>ยกก.</v>
          </cell>
        </row>
        <row r="5">
          <cell r="B5">
            <v>470068</v>
          </cell>
          <cell r="C5" t="str">
            <v>นาย</v>
          </cell>
          <cell r="E5" t="str">
            <v>ธนากฤช</v>
          </cell>
          <cell r="F5" t="str">
            <v>ภูวนาทเกษมกุล</v>
          </cell>
          <cell r="G5" t="str">
            <v>ยกก.</v>
          </cell>
        </row>
        <row r="6">
          <cell r="B6">
            <v>480209</v>
          </cell>
          <cell r="C6" t="str">
            <v>นาย</v>
          </cell>
          <cell r="E6" t="str">
            <v>วาทิต</v>
          </cell>
          <cell r="F6" t="str">
            <v>วัชโรทยาน</v>
          </cell>
          <cell r="G6" t="str">
            <v>ยกก.</v>
          </cell>
        </row>
        <row r="7">
          <cell r="B7">
            <v>480027</v>
          </cell>
          <cell r="C7" t="str">
            <v>นาย</v>
          </cell>
          <cell r="E7" t="str">
            <v>ชลอ</v>
          </cell>
          <cell r="F7" t="str">
            <v>บริบูรณ์</v>
          </cell>
          <cell r="G7" t="str">
            <v>ยกก.</v>
          </cell>
        </row>
        <row r="8">
          <cell r="B8">
            <v>500160</v>
          </cell>
          <cell r="C8" t="str">
            <v>นาย</v>
          </cell>
          <cell r="E8" t="str">
            <v>สมภพ</v>
          </cell>
          <cell r="F8" t="str">
            <v>อุไรพันธุ์</v>
          </cell>
          <cell r="G8" t="str">
            <v>ยกก.</v>
          </cell>
        </row>
        <row r="9">
          <cell r="B9">
            <v>530020</v>
          </cell>
          <cell r="C9" t="str">
            <v>นาย</v>
          </cell>
          <cell r="E9" t="str">
            <v>ณัฐวีร์</v>
          </cell>
          <cell r="F9" t="str">
            <v>ชมภูรัตน์</v>
          </cell>
          <cell r="G9" t="str">
            <v>ยกก.</v>
          </cell>
        </row>
        <row r="10">
          <cell r="B10">
            <v>490028</v>
          </cell>
          <cell r="C10" t="str">
            <v>นาย</v>
          </cell>
          <cell r="E10" t="str">
            <v>สิริวิช</v>
          </cell>
          <cell r="F10" t="str">
            <v>ประดิษฐ์เทียมผล</v>
          </cell>
          <cell r="G10" t="str">
            <v>ปจ.ยกก.</v>
          </cell>
        </row>
        <row r="11">
          <cell r="B11">
            <v>410056</v>
          </cell>
          <cell r="C11" t="str">
            <v>นาย</v>
          </cell>
          <cell r="E11" t="str">
            <v>อวสันต์</v>
          </cell>
          <cell r="F11" t="str">
            <v>สารสอน</v>
          </cell>
          <cell r="G11" t="str">
            <v>คผ.A ปจ.</v>
          </cell>
        </row>
        <row r="12">
          <cell r="B12">
            <v>470060</v>
          </cell>
          <cell r="C12" t="str">
            <v>นาย</v>
          </cell>
          <cell r="E12" t="str">
            <v>ชัชวาล</v>
          </cell>
          <cell r="F12" t="str">
            <v>ศรีวิเศษ</v>
          </cell>
          <cell r="G12" t="str">
            <v>คผ.A ปจ.</v>
          </cell>
        </row>
        <row r="13">
          <cell r="B13">
            <v>480188</v>
          </cell>
          <cell r="C13" t="str">
            <v>นาย</v>
          </cell>
          <cell r="E13" t="str">
            <v>บัญชา</v>
          </cell>
          <cell r="F13" t="str">
            <v>ศรีจำปา</v>
          </cell>
          <cell r="G13" t="str">
            <v>คผ.A ปจ.</v>
          </cell>
        </row>
        <row r="14">
          <cell r="B14">
            <v>480235</v>
          </cell>
          <cell r="C14" t="str">
            <v>นาย</v>
          </cell>
          <cell r="E14" t="str">
            <v>เสรีศักดิ์</v>
          </cell>
          <cell r="F14" t="str">
            <v>ทาศรี</v>
          </cell>
          <cell r="G14" t="str">
            <v>คผ.A ปจ.</v>
          </cell>
        </row>
        <row r="15">
          <cell r="B15">
            <v>500187</v>
          </cell>
          <cell r="C15" t="str">
            <v>นาย</v>
          </cell>
          <cell r="E15" t="str">
            <v>ปรีดา</v>
          </cell>
          <cell r="F15" t="str">
            <v>หาโคตร</v>
          </cell>
          <cell r="G15" t="str">
            <v>คผ.A ปจ.</v>
          </cell>
        </row>
        <row r="16">
          <cell r="B16">
            <v>490047</v>
          </cell>
          <cell r="C16" t="str">
            <v>นาย</v>
          </cell>
          <cell r="E16" t="str">
            <v>พลัฏฐ์</v>
          </cell>
          <cell r="F16" t="str">
            <v>สินศิวพร</v>
          </cell>
          <cell r="G16" t="str">
            <v>คผ.A ปจ.</v>
          </cell>
        </row>
        <row r="17">
          <cell r="B17">
            <v>580257</v>
          </cell>
          <cell r="C17" t="str">
            <v>นาย</v>
          </cell>
          <cell r="E17" t="str">
            <v>มนูศักดิ์</v>
          </cell>
          <cell r="F17" t="str">
            <v>ณ นคร</v>
          </cell>
          <cell r="G17" t="str">
            <v>คผ.A ปจ.</v>
          </cell>
        </row>
        <row r="18">
          <cell r="B18">
            <v>360094</v>
          </cell>
          <cell r="C18" t="str">
            <v>นาย</v>
          </cell>
          <cell r="E18" t="str">
            <v>พรชัย</v>
          </cell>
          <cell r="F18" t="str">
            <v>จันทร์อุดมสุข</v>
          </cell>
          <cell r="G18" t="str">
            <v>คผฺ.B ปจ.</v>
          </cell>
        </row>
        <row r="19">
          <cell r="B19">
            <v>350064</v>
          </cell>
          <cell r="C19" t="str">
            <v>นาย</v>
          </cell>
          <cell r="E19" t="str">
            <v>ชิด</v>
          </cell>
          <cell r="F19" t="str">
            <v>ใจมั่น</v>
          </cell>
          <cell r="G19" t="str">
            <v>คผฺ.B ปจ.</v>
          </cell>
        </row>
        <row r="20">
          <cell r="B20">
            <v>480226</v>
          </cell>
          <cell r="C20" t="str">
            <v>นาย</v>
          </cell>
          <cell r="E20" t="str">
            <v>รุ่งเรือง</v>
          </cell>
          <cell r="F20" t="str">
            <v>ศรีวิเศษ</v>
          </cell>
          <cell r="G20" t="str">
            <v>คผฺ.B ปจ.</v>
          </cell>
        </row>
        <row r="21">
          <cell r="B21">
            <v>500158</v>
          </cell>
          <cell r="C21" t="str">
            <v>นาย</v>
          </cell>
          <cell r="E21" t="str">
            <v>บัญชา</v>
          </cell>
          <cell r="F21" t="str">
            <v>โมกไธสง</v>
          </cell>
          <cell r="G21" t="str">
            <v>คผฺ.B ปจ.</v>
          </cell>
        </row>
        <row r="22">
          <cell r="B22">
            <v>540328</v>
          </cell>
          <cell r="C22" t="str">
            <v>นาย</v>
          </cell>
          <cell r="E22" t="str">
            <v>จิรายุ</v>
          </cell>
          <cell r="F22" t="str">
            <v>ประทุมยศ</v>
          </cell>
          <cell r="G22" t="str">
            <v>คผฺ.B ปจ.</v>
          </cell>
        </row>
        <row r="23">
          <cell r="B23">
            <v>550139</v>
          </cell>
          <cell r="C23" t="str">
            <v>นาย</v>
          </cell>
          <cell r="E23" t="str">
            <v>เอนก</v>
          </cell>
          <cell r="F23" t="str">
            <v>พวยอ้วน</v>
          </cell>
          <cell r="G23" t="str">
            <v>คผฺ.B ปจ.</v>
          </cell>
        </row>
        <row r="24">
          <cell r="B24">
            <v>580203</v>
          </cell>
          <cell r="C24" t="str">
            <v>นาย</v>
          </cell>
          <cell r="E24" t="str">
            <v>หฤษฎ์เกษม</v>
          </cell>
          <cell r="F24" t="str">
            <v>เดชพละ</v>
          </cell>
          <cell r="G24" t="str">
            <v>คผฺ.B ปจ.</v>
          </cell>
        </row>
        <row r="25">
          <cell r="B25">
            <v>360096</v>
          </cell>
          <cell r="C25" t="str">
            <v>นาย</v>
          </cell>
          <cell r="E25" t="str">
            <v>ปรีชา</v>
          </cell>
          <cell r="F25" t="str">
            <v>ทองทา</v>
          </cell>
          <cell r="G25" t="str">
            <v>คผ.C ปจ.</v>
          </cell>
        </row>
        <row r="26">
          <cell r="B26">
            <v>480167</v>
          </cell>
          <cell r="C26" t="str">
            <v>นาย</v>
          </cell>
          <cell r="E26" t="str">
            <v>ปราโมทย์</v>
          </cell>
          <cell r="F26" t="str">
            <v>ใจเที่ยง</v>
          </cell>
          <cell r="G26" t="str">
            <v>คผ.C ปจ.</v>
          </cell>
        </row>
        <row r="27">
          <cell r="B27">
            <v>480166</v>
          </cell>
          <cell r="C27" t="str">
            <v>นาย</v>
          </cell>
          <cell r="E27" t="str">
            <v>ศศิพงษ์</v>
          </cell>
          <cell r="F27" t="str">
            <v>ศรีสมทาสุวรรณ</v>
          </cell>
          <cell r="G27" t="str">
            <v>คผ.C ปจ.</v>
          </cell>
        </row>
        <row r="28">
          <cell r="B28">
            <v>480169</v>
          </cell>
          <cell r="C28" t="str">
            <v>นาย</v>
          </cell>
          <cell r="E28" t="str">
            <v>สุริยันต์</v>
          </cell>
          <cell r="F28" t="str">
            <v>ประนัดตัง</v>
          </cell>
          <cell r="G28" t="str">
            <v>คผ.C ปจ.</v>
          </cell>
        </row>
        <row r="29">
          <cell r="B29">
            <v>550033</v>
          </cell>
          <cell r="C29" t="str">
            <v>นาย</v>
          </cell>
          <cell r="E29" t="str">
            <v>นพพล</v>
          </cell>
          <cell r="F29" t="str">
            <v>สร้อยสอิ้ง</v>
          </cell>
          <cell r="G29" t="str">
            <v>คผ.C ปจ.</v>
          </cell>
        </row>
        <row r="30">
          <cell r="B30">
            <v>540230</v>
          </cell>
          <cell r="C30" t="str">
            <v>นาย</v>
          </cell>
          <cell r="E30" t="str">
            <v>ทศพร</v>
          </cell>
          <cell r="F30" t="str">
            <v>ทองมา</v>
          </cell>
          <cell r="G30" t="str">
            <v>คผ.C ปจ.</v>
          </cell>
        </row>
        <row r="31">
          <cell r="B31">
            <v>660040</v>
          </cell>
          <cell r="C31" t="str">
            <v>นาย</v>
          </cell>
          <cell r="E31" t="str">
            <v>ประจักษ์</v>
          </cell>
          <cell r="F31" t="str">
            <v>เลิศสงคราม</v>
          </cell>
          <cell r="G31" t="str">
            <v>คผ.C ปจ.</v>
          </cell>
        </row>
        <row r="32">
          <cell r="B32">
            <v>470104</v>
          </cell>
          <cell r="C32" t="str">
            <v>นาย</v>
          </cell>
          <cell r="E32" t="str">
            <v>อนุพงษ์</v>
          </cell>
          <cell r="F32" t="str">
            <v>สีหะวงษ์</v>
          </cell>
          <cell r="G32" t="str">
            <v>คผ.D ปจ.</v>
          </cell>
        </row>
        <row r="33">
          <cell r="B33">
            <v>490030</v>
          </cell>
          <cell r="C33" t="str">
            <v>นาย</v>
          </cell>
          <cell r="E33" t="str">
            <v>อนุชิต</v>
          </cell>
          <cell r="F33" t="str">
            <v>วงษ์สงค์</v>
          </cell>
          <cell r="G33" t="str">
            <v>คผ.D ปจ.</v>
          </cell>
        </row>
        <row r="34">
          <cell r="B34">
            <v>500157</v>
          </cell>
          <cell r="C34" t="str">
            <v>นาย</v>
          </cell>
          <cell r="E34" t="str">
            <v>ธนกฤต</v>
          </cell>
          <cell r="F34" t="str">
            <v>กวินธิติเดช</v>
          </cell>
          <cell r="G34" t="str">
            <v>คผ.D ปจ.</v>
          </cell>
        </row>
        <row r="35">
          <cell r="B35">
            <v>530021</v>
          </cell>
          <cell r="C35" t="str">
            <v>นาย</v>
          </cell>
          <cell r="E35" t="str">
            <v>สุรศักดิ์</v>
          </cell>
          <cell r="F35" t="str">
            <v>โอดสู</v>
          </cell>
          <cell r="G35" t="str">
            <v>คผ.D ปจ.</v>
          </cell>
        </row>
        <row r="36">
          <cell r="B36">
            <v>570018</v>
          </cell>
          <cell r="C36" t="str">
            <v>นาย</v>
          </cell>
          <cell r="E36" t="str">
            <v>อภิชาติ</v>
          </cell>
          <cell r="F36" t="str">
            <v>ภู่ทองตระกูล</v>
          </cell>
          <cell r="G36" t="str">
            <v>คผ.D ปจ.</v>
          </cell>
        </row>
        <row r="37">
          <cell r="B37">
            <v>490147</v>
          </cell>
          <cell r="C37" t="str">
            <v>นาย</v>
          </cell>
          <cell r="E37" t="str">
            <v>ณัฐวุฒิ</v>
          </cell>
          <cell r="F37" t="str">
            <v>ปิยะประชากร</v>
          </cell>
          <cell r="G37" t="str">
            <v>ปภ.ผยก.</v>
          </cell>
        </row>
        <row r="38">
          <cell r="B38">
            <v>360102</v>
          </cell>
          <cell r="C38" t="str">
            <v>นาย</v>
          </cell>
          <cell r="D38" t="str">
            <v>ว่าที่ ร.ต.</v>
          </cell>
          <cell r="E38" t="str">
            <v>ธวัชชัย</v>
          </cell>
          <cell r="F38" t="str">
            <v>สิงห์หา</v>
          </cell>
          <cell r="G38" t="str">
            <v>ปภ.ผยก.</v>
          </cell>
        </row>
        <row r="39">
          <cell r="B39">
            <v>410054</v>
          </cell>
          <cell r="C39" t="str">
            <v>นาย</v>
          </cell>
          <cell r="E39" t="str">
            <v>กิตติ</v>
          </cell>
          <cell r="F39" t="str">
            <v>เกษตรธรรม</v>
          </cell>
          <cell r="G39" t="str">
            <v>ปภ.ผยก.</v>
          </cell>
        </row>
        <row r="40">
          <cell r="B40">
            <v>510012</v>
          </cell>
          <cell r="C40" t="str">
            <v>นาง</v>
          </cell>
          <cell r="E40" t="str">
            <v>น้ำผึ้ง</v>
          </cell>
          <cell r="F40" t="str">
            <v>สงวนตั้ง</v>
          </cell>
          <cell r="G40" t="str">
            <v>ปภ.ผยก.</v>
          </cell>
        </row>
        <row r="41">
          <cell r="B41">
            <v>570242</v>
          </cell>
          <cell r="C41" t="str">
            <v>น.ส.</v>
          </cell>
          <cell r="E41" t="str">
            <v>ศิโรรัตน์</v>
          </cell>
          <cell r="F41" t="str">
            <v>จันทาพูน</v>
          </cell>
          <cell r="G41" t="str">
            <v>ปภ.ผยก.</v>
          </cell>
        </row>
        <row r="42">
          <cell r="B42">
            <v>600046</v>
          </cell>
          <cell r="C42" t="str">
            <v>นาย</v>
          </cell>
          <cell r="E42" t="str">
            <v>คมเดช</v>
          </cell>
          <cell r="F42" t="str">
            <v>โอฬารธนสาร</v>
          </cell>
          <cell r="G42" t="str">
            <v>ปภ.ผยก.</v>
          </cell>
        </row>
        <row r="43">
          <cell r="B43">
            <v>590020</v>
          </cell>
          <cell r="C43" t="str">
            <v>น.ส.</v>
          </cell>
          <cell r="E43" t="str">
            <v>กมลชนก</v>
          </cell>
          <cell r="F43" t="str">
            <v>รัตนวิจิตร</v>
          </cell>
          <cell r="G43" t="str">
            <v>ปภ.ผยก.</v>
          </cell>
        </row>
        <row r="44">
          <cell r="B44">
            <v>620075</v>
          </cell>
          <cell r="C44" t="str">
            <v>น.ส.</v>
          </cell>
          <cell r="E44" t="str">
            <v>พิชญาพร</v>
          </cell>
          <cell r="F44" t="str">
            <v>ปุ่นสกุล</v>
          </cell>
          <cell r="G44" t="str">
            <v>ปภ.ผยก.</v>
          </cell>
        </row>
        <row r="45">
          <cell r="B45">
            <v>630043</v>
          </cell>
          <cell r="C45" t="str">
            <v>นาย</v>
          </cell>
          <cell r="E45" t="str">
            <v>ภูริณัฐ</v>
          </cell>
          <cell r="F45" t="str">
            <v>เอี่ยมสุวรรณ</v>
          </cell>
          <cell r="G45" t="str">
            <v>ปภ.ผยก.</v>
          </cell>
        </row>
        <row r="46">
          <cell r="B46">
            <v>620078</v>
          </cell>
          <cell r="C46" t="str">
            <v>น.ส.</v>
          </cell>
          <cell r="E46" t="str">
            <v>กนกวรรณ</v>
          </cell>
          <cell r="F46" t="str">
            <v>ฟุ้งพิทักษ์</v>
          </cell>
          <cell r="G46" t="str">
            <v>ปภ.ผยก.</v>
          </cell>
        </row>
        <row r="47">
          <cell r="B47">
            <v>630045</v>
          </cell>
          <cell r="C47" t="str">
            <v>นาย</v>
          </cell>
          <cell r="E47" t="str">
            <v>กฤษฏิ์</v>
          </cell>
          <cell r="F47" t="str">
            <v>พูลผกา</v>
          </cell>
          <cell r="G47" t="str">
            <v>ปภ.ผยก.</v>
          </cell>
        </row>
        <row r="48">
          <cell r="B48">
            <v>650044</v>
          </cell>
          <cell r="C48" t="str">
            <v>นาย</v>
          </cell>
          <cell r="E48" t="str">
            <v>นพรุจน์</v>
          </cell>
          <cell r="F48" t="str">
            <v>หงษ์อุบล</v>
          </cell>
          <cell r="G48" t="str">
            <v>ปภ.ผยก.</v>
          </cell>
        </row>
        <row r="49">
          <cell r="B49">
            <v>660083</v>
          </cell>
          <cell r="C49" t="str">
            <v>น.ส.</v>
          </cell>
          <cell r="E49" t="str">
            <v>ศรนันท์</v>
          </cell>
          <cell r="F49" t="str">
            <v>วุฒิการโกศล</v>
          </cell>
          <cell r="G49" t="str">
            <v>ปภ.ผยก.</v>
          </cell>
        </row>
        <row r="50">
          <cell r="B50">
            <v>670030</v>
          </cell>
          <cell r="C50" t="str">
            <v>นาย</v>
          </cell>
          <cell r="E50" t="str">
            <v>ภูมิภัทร์</v>
          </cell>
          <cell r="F50" t="str">
            <v>พุกกะวรรณะ</v>
          </cell>
          <cell r="G50" t="str">
            <v>ปภ.ผยก.</v>
          </cell>
        </row>
        <row r="51">
          <cell r="B51">
            <v>690025</v>
          </cell>
          <cell r="C51" t="str">
            <v>นาย</v>
          </cell>
          <cell r="E51" t="str">
            <v>ณัฐสิทธิ์</v>
          </cell>
          <cell r="F51" t="str">
            <v>บุษยากุล</v>
          </cell>
          <cell r="G51" t="str">
            <v>ปภ.ผยก.</v>
          </cell>
        </row>
        <row r="52">
          <cell r="B52">
            <v>660063</v>
          </cell>
          <cell r="C52" t="str">
            <v>น.ส.</v>
          </cell>
          <cell r="E52" t="str">
            <v>ภาสินี</v>
          </cell>
          <cell r="F52" t="str">
            <v>ผดุงชีวิต</v>
          </cell>
          <cell r="G52" t="str">
            <v>ปภ.ผยก.</v>
          </cell>
        </row>
        <row r="53">
          <cell r="B53">
            <v>670043</v>
          </cell>
          <cell r="C53" t="str">
            <v>นาย</v>
          </cell>
          <cell r="E53" t="str">
            <v>ภูดิท</v>
          </cell>
          <cell r="F53" t="str">
            <v>วัชรินทร์ธาดา</v>
          </cell>
          <cell r="G53" t="str">
            <v>ปภ.ผยก.</v>
          </cell>
        </row>
        <row r="54">
          <cell r="B54">
            <v>670054</v>
          </cell>
          <cell r="C54" t="str">
            <v>น.ส.</v>
          </cell>
          <cell r="E54" t="str">
            <v>พรกนก</v>
          </cell>
          <cell r="F54" t="str">
            <v>บุญรัตน์</v>
          </cell>
          <cell r="G54" t="str">
            <v>ปภ.ผยก.</v>
          </cell>
        </row>
        <row r="55">
          <cell r="B55">
            <v>360066</v>
          </cell>
          <cell r="C55" t="str">
            <v>นาย</v>
          </cell>
          <cell r="E55" t="str">
            <v>วิสุทธิ์</v>
          </cell>
          <cell r="F55" t="str">
            <v>หนูงาม</v>
          </cell>
          <cell r="G55" t="str">
            <v>บรก.</v>
          </cell>
        </row>
        <row r="56">
          <cell r="B56">
            <v>490058</v>
          </cell>
          <cell r="C56" t="str">
            <v>นาย</v>
          </cell>
          <cell r="E56" t="str">
            <v>อภิเชษฐ</v>
          </cell>
          <cell r="F56" t="str">
            <v>รัตบุตร</v>
          </cell>
          <cell r="G56" t="str">
            <v>รส.บรก.</v>
          </cell>
        </row>
        <row r="57">
          <cell r="B57">
            <v>540100</v>
          </cell>
          <cell r="C57" t="str">
            <v>น.ส.</v>
          </cell>
          <cell r="E57" t="str">
            <v>ปัญจรี</v>
          </cell>
          <cell r="F57" t="str">
            <v>บุญติด</v>
          </cell>
          <cell r="G57" t="str">
            <v>รส.บรก.</v>
          </cell>
        </row>
        <row r="58">
          <cell r="B58">
            <v>350084</v>
          </cell>
          <cell r="C58" t="str">
            <v>นาง</v>
          </cell>
          <cell r="E58" t="str">
            <v>รพีพรรณ</v>
          </cell>
          <cell r="F58" t="str">
            <v>บุญเนาว์</v>
          </cell>
          <cell r="G58" t="str">
            <v>บร.บรก.</v>
          </cell>
        </row>
        <row r="59">
          <cell r="B59">
            <v>470063</v>
          </cell>
          <cell r="C59" t="str">
            <v>นาย</v>
          </cell>
          <cell r="D59" t="str">
            <v>ว่าที่ ร.ต.</v>
          </cell>
          <cell r="E59" t="str">
            <v>ทิวา</v>
          </cell>
          <cell r="F59" t="str">
            <v>ปลื้มใจ</v>
          </cell>
          <cell r="G59" t="str">
            <v>บร.บรก.</v>
          </cell>
        </row>
        <row r="60">
          <cell r="B60">
            <v>560162</v>
          </cell>
          <cell r="C60" t="str">
            <v>น.ส.</v>
          </cell>
          <cell r="E60" t="str">
            <v>กาญจนาภา</v>
          </cell>
          <cell r="F60" t="str">
            <v>เจริญสุข</v>
          </cell>
          <cell r="G60" t="str">
            <v>บร.บรก.</v>
          </cell>
        </row>
        <row r="61">
          <cell r="B61">
            <v>580015</v>
          </cell>
          <cell r="C61" t="str">
            <v>น.ส.</v>
          </cell>
          <cell r="E61" t="str">
            <v>ณิชากร</v>
          </cell>
          <cell r="F61" t="str">
            <v>ตองอ่อน</v>
          </cell>
          <cell r="G61" t="str">
            <v>บร.บรก.</v>
          </cell>
        </row>
        <row r="62">
          <cell r="B62">
            <v>550112</v>
          </cell>
          <cell r="C62" t="str">
            <v>นาย</v>
          </cell>
          <cell r="E62" t="str">
            <v>จิรศักดิ์</v>
          </cell>
          <cell r="F62" t="str">
            <v>ศรีละวัลย์</v>
          </cell>
          <cell r="G62" t="str">
            <v>บร.บรก.</v>
          </cell>
        </row>
        <row r="63">
          <cell r="B63">
            <v>600136</v>
          </cell>
          <cell r="C63" t="str">
            <v>นาย</v>
          </cell>
          <cell r="E63" t="str">
            <v>ขจรศักดิ์</v>
          </cell>
          <cell r="F63" t="str">
            <v>ศรีกฤษณ์</v>
          </cell>
          <cell r="G63" t="str">
            <v>บร.บรก.</v>
          </cell>
        </row>
        <row r="64">
          <cell r="B64">
            <v>620026</v>
          </cell>
          <cell r="C64" t="str">
            <v>น.ส.</v>
          </cell>
          <cell r="E64" t="str">
            <v>พิจารินทร์</v>
          </cell>
          <cell r="F64" t="str">
            <v>หงษ์ทอง</v>
          </cell>
          <cell r="G64" t="str">
            <v>บร.บรก.</v>
          </cell>
        </row>
        <row r="65">
          <cell r="B65">
            <v>650081</v>
          </cell>
          <cell r="C65" t="str">
            <v>น.ส.</v>
          </cell>
          <cell r="E65" t="str">
            <v>ณัชชา</v>
          </cell>
          <cell r="F65" t="str">
            <v>สุทธิพงษ์</v>
          </cell>
          <cell r="G65" t="str">
            <v>บร.บรก.</v>
          </cell>
        </row>
        <row r="66">
          <cell r="B66">
            <v>670014</v>
          </cell>
          <cell r="C66" t="str">
            <v>นาย</v>
          </cell>
          <cell r="E66" t="str">
            <v>ภาคิณ</v>
          </cell>
          <cell r="F66" t="str">
            <v>แก้วลังกา</v>
          </cell>
          <cell r="G66" t="str">
            <v>บร.บรก.</v>
          </cell>
        </row>
        <row r="67">
          <cell r="B67">
            <v>690032</v>
          </cell>
          <cell r="C67" t="str">
            <v>น.ส.</v>
          </cell>
          <cell r="E67" t="str">
            <v>กัญญาณัฐ</v>
          </cell>
          <cell r="F67" t="str">
            <v>ผลสว่าง</v>
          </cell>
          <cell r="G67" t="str">
            <v>บร.บรก.</v>
          </cell>
        </row>
        <row r="68">
          <cell r="B68">
            <v>360098</v>
          </cell>
          <cell r="C68" t="str">
            <v>นาย</v>
          </cell>
          <cell r="E68" t="str">
            <v>เมธี</v>
          </cell>
          <cell r="F68" t="str">
            <v>ภูศรี</v>
          </cell>
          <cell r="G68" t="str">
            <v>อท.บรก.</v>
          </cell>
        </row>
        <row r="69">
          <cell r="B69">
            <v>340097</v>
          </cell>
          <cell r="C69" t="str">
            <v>นาย</v>
          </cell>
          <cell r="E69" t="str">
            <v>วสันต์</v>
          </cell>
          <cell r="F69" t="str">
            <v>โยทะคง</v>
          </cell>
          <cell r="G69" t="str">
            <v>อท.บรก.</v>
          </cell>
        </row>
        <row r="70">
          <cell r="B70">
            <v>570064</v>
          </cell>
          <cell r="C70" t="str">
            <v>นาย</v>
          </cell>
          <cell r="E70" t="str">
            <v>กฤษณ์</v>
          </cell>
          <cell r="F70" t="str">
            <v>จารุดำรงค์ศักดิ์</v>
          </cell>
          <cell r="G70" t="str">
            <v>อท.บรก.</v>
          </cell>
        </row>
        <row r="71">
          <cell r="B71">
            <v>470102</v>
          </cell>
          <cell r="C71" t="str">
            <v>นาย</v>
          </cell>
          <cell r="E71" t="str">
            <v>ชลธร</v>
          </cell>
          <cell r="F71" t="str">
            <v>ฤทธิ์มั่น</v>
          </cell>
          <cell r="G71" t="str">
            <v>อท.บรก.</v>
          </cell>
        </row>
        <row r="72">
          <cell r="B72">
            <v>480174</v>
          </cell>
          <cell r="C72" t="str">
            <v>นาย</v>
          </cell>
          <cell r="E72" t="str">
            <v>เอกชัย</v>
          </cell>
          <cell r="F72" t="str">
            <v>ปัญญาสงค์</v>
          </cell>
          <cell r="G72" t="str">
            <v>อท.บรก.</v>
          </cell>
        </row>
        <row r="73">
          <cell r="B73">
            <v>520038</v>
          </cell>
          <cell r="C73" t="str">
            <v>นาย</v>
          </cell>
          <cell r="E73" t="str">
            <v>ณรงค์ฤทธิ์</v>
          </cell>
          <cell r="F73" t="str">
            <v>มาลาสาย</v>
          </cell>
          <cell r="G73" t="str">
            <v>อท.บรก.</v>
          </cell>
        </row>
        <row r="74">
          <cell r="B74">
            <v>530204</v>
          </cell>
          <cell r="C74" t="str">
            <v>นาย</v>
          </cell>
          <cell r="E74" t="str">
            <v>ปิยชาติ</v>
          </cell>
          <cell r="F74" t="str">
            <v>ขามช่วง</v>
          </cell>
          <cell r="G74" t="str">
            <v>อท.บรก.</v>
          </cell>
        </row>
        <row r="75">
          <cell r="B75">
            <v>540076</v>
          </cell>
          <cell r="C75" t="str">
            <v>นาย</v>
          </cell>
          <cell r="E75" t="str">
            <v>พิศิษฎ์</v>
          </cell>
          <cell r="F75" t="str">
            <v>สรีสุทธิ</v>
          </cell>
          <cell r="G75" t="str">
            <v>อท.บรก.</v>
          </cell>
        </row>
        <row r="76">
          <cell r="B76">
            <v>620005</v>
          </cell>
          <cell r="C76" t="str">
            <v>นาย</v>
          </cell>
          <cell r="E76" t="str">
            <v>วัชรพงษ์</v>
          </cell>
          <cell r="F76" t="str">
            <v>ฟูประทีปศิริ</v>
          </cell>
          <cell r="G76" t="str">
            <v>อท.บรก.</v>
          </cell>
        </row>
        <row r="77">
          <cell r="B77">
            <v>550214</v>
          </cell>
          <cell r="C77" t="str">
            <v>นาย</v>
          </cell>
          <cell r="E77" t="str">
            <v>ณัฐพงษ์</v>
          </cell>
          <cell r="F77" t="str">
            <v>ต่อวงศ์เจริญ</v>
          </cell>
          <cell r="G77" t="str">
            <v>อท.บรก.</v>
          </cell>
        </row>
        <row r="78">
          <cell r="B78">
            <v>570065</v>
          </cell>
          <cell r="C78" t="str">
            <v>นาย</v>
          </cell>
          <cell r="E78" t="str">
            <v>ประกิจ</v>
          </cell>
          <cell r="F78" t="str">
            <v>ปลั่งกลาง</v>
          </cell>
          <cell r="G78" t="str">
            <v>อท.บรก.</v>
          </cell>
        </row>
        <row r="79">
          <cell r="B79">
            <v>600071</v>
          </cell>
          <cell r="C79" t="str">
            <v>นาย</v>
          </cell>
          <cell r="D79" t="str">
            <v>ว่าที่ ร.ต.</v>
          </cell>
          <cell r="E79" t="str">
            <v>สัณห์ธวัช</v>
          </cell>
          <cell r="F79" t="str">
            <v>เด่นเมธารัตน์</v>
          </cell>
          <cell r="G79" t="str">
            <v>อท.บรก.</v>
          </cell>
        </row>
        <row r="80">
          <cell r="B80">
            <v>660039</v>
          </cell>
          <cell r="C80" t="str">
            <v>น.ส.</v>
          </cell>
          <cell r="E80" t="str">
            <v>ธนิดา</v>
          </cell>
          <cell r="F80" t="str">
            <v>สรรมณี</v>
          </cell>
          <cell r="G80" t="str">
            <v>อท.บรก.</v>
          </cell>
        </row>
        <row r="81">
          <cell r="B81">
            <v>340048</v>
          </cell>
          <cell r="C81" t="str">
            <v>น.ส.</v>
          </cell>
          <cell r="E81" t="str">
            <v>วาสนา</v>
          </cell>
          <cell r="F81" t="str">
            <v>ไหมทอง</v>
          </cell>
          <cell r="G81" t="str">
            <v>พย.บรก.</v>
          </cell>
        </row>
        <row r="82">
          <cell r="B82">
            <v>490026</v>
          </cell>
          <cell r="C82" t="str">
            <v>นาย</v>
          </cell>
          <cell r="E82" t="str">
            <v>ประดับ</v>
          </cell>
          <cell r="F82" t="str">
            <v>มีสี</v>
          </cell>
          <cell r="G82" t="str">
            <v>พย.บรก.</v>
          </cell>
        </row>
        <row r="83">
          <cell r="B83">
            <v>540208</v>
          </cell>
          <cell r="C83" t="str">
            <v>นาย</v>
          </cell>
          <cell r="E83" t="str">
            <v>กฤษรา</v>
          </cell>
          <cell r="F83" t="str">
            <v>คงนวล</v>
          </cell>
          <cell r="G83" t="str">
            <v>พย.บรก.</v>
          </cell>
        </row>
        <row r="84">
          <cell r="B84">
            <v>340096</v>
          </cell>
          <cell r="C84" t="str">
            <v>นาย</v>
          </cell>
          <cell r="E84" t="str">
            <v>ปกรณ์</v>
          </cell>
          <cell r="F84" t="str">
            <v>คุณสารวนิช</v>
          </cell>
          <cell r="G84" t="str">
            <v>พย.บรก.</v>
          </cell>
        </row>
        <row r="85">
          <cell r="B85">
            <v>560269</v>
          </cell>
          <cell r="C85" t="str">
            <v>น.ส.</v>
          </cell>
          <cell r="E85" t="str">
            <v>ปรางชนก</v>
          </cell>
          <cell r="F85" t="str">
            <v>ปาลกะวงศ์</v>
          </cell>
          <cell r="G85" t="str">
            <v>พย.บรก.</v>
          </cell>
        </row>
        <row r="86">
          <cell r="B86">
            <v>580086</v>
          </cell>
          <cell r="C86" t="str">
            <v>นาง</v>
          </cell>
          <cell r="E86" t="str">
            <v>ภัทราธร</v>
          </cell>
          <cell r="F86" t="str">
            <v>เอี่ยมปิยะ</v>
          </cell>
          <cell r="G86" t="str">
            <v>พย.บรก.</v>
          </cell>
        </row>
        <row r="87">
          <cell r="B87">
            <v>620017</v>
          </cell>
          <cell r="C87" t="str">
            <v>นาย</v>
          </cell>
          <cell r="E87" t="str">
            <v>จิรายุทธ์</v>
          </cell>
          <cell r="F87" t="str">
            <v>กังวีระนนท์</v>
          </cell>
          <cell r="G87" t="str">
            <v>พย.บรก.</v>
          </cell>
        </row>
        <row r="88">
          <cell r="B88">
            <v>640006</v>
          </cell>
          <cell r="C88" t="str">
            <v>นาย</v>
          </cell>
          <cell r="E88" t="str">
            <v>วิสุทธิ์</v>
          </cell>
          <cell r="F88" t="str">
            <v>ศรีมันตะ</v>
          </cell>
          <cell r="G88" t="str">
            <v>พย.บรก.</v>
          </cell>
        </row>
        <row r="89">
          <cell r="B89">
            <v>650023</v>
          </cell>
          <cell r="C89" t="str">
            <v>น.ส.</v>
          </cell>
          <cell r="E89" t="str">
            <v>สิริวิมล</v>
          </cell>
          <cell r="F89" t="str">
            <v>มีทอง</v>
          </cell>
          <cell r="G89" t="str">
            <v>พย.บรก.</v>
          </cell>
        </row>
        <row r="90">
          <cell r="B90">
            <v>580311</v>
          </cell>
          <cell r="C90" t="str">
            <v>นาย</v>
          </cell>
          <cell r="E90" t="str">
            <v>เอกอมร</v>
          </cell>
          <cell r="F90" t="str">
            <v>ศึกษา</v>
          </cell>
          <cell r="G90" t="str">
            <v>พย.บรก.</v>
          </cell>
        </row>
        <row r="91">
          <cell r="B91">
            <v>640005</v>
          </cell>
          <cell r="C91" t="str">
            <v>น.ส.</v>
          </cell>
          <cell r="E91" t="str">
            <v>ศิริพร</v>
          </cell>
          <cell r="F91" t="str">
            <v>จุลเจิม</v>
          </cell>
          <cell r="G91" t="str">
            <v>พย.บรก.</v>
          </cell>
        </row>
        <row r="92">
          <cell r="B92">
            <v>660117</v>
          </cell>
          <cell r="C92" t="str">
            <v>น.ส.</v>
          </cell>
          <cell r="E92" t="str">
            <v>สุลิสา</v>
          </cell>
          <cell r="F92" t="str">
            <v>โรมวิลาส</v>
          </cell>
          <cell r="G92" t="str">
            <v>พย.บรก.</v>
          </cell>
        </row>
        <row r="93">
          <cell r="B93">
            <v>670083</v>
          </cell>
          <cell r="C93" t="str">
            <v>นาย</v>
          </cell>
          <cell r="E93" t="str">
            <v>พชร</v>
          </cell>
          <cell r="F93" t="str">
            <v>ศุกลกิจศิริ</v>
          </cell>
          <cell r="G93" t="str">
            <v>พย.บรก.</v>
          </cell>
        </row>
        <row r="94">
          <cell r="B94">
            <v>670121</v>
          </cell>
          <cell r="C94" t="str">
            <v>น.ส.</v>
          </cell>
          <cell r="E94" t="str">
            <v>ไอริณ</v>
          </cell>
          <cell r="F94" t="str">
            <v>อัจนารมย์วาท</v>
          </cell>
          <cell r="G94" t="str">
            <v>พย.บรก.</v>
          </cell>
        </row>
        <row r="95">
          <cell r="B95">
            <v>600225</v>
          </cell>
          <cell r="C95" t="str">
            <v>นาย</v>
          </cell>
          <cell r="E95" t="str">
            <v>ศตวรรษ</v>
          </cell>
          <cell r="F95" t="str">
            <v>สมบูรณ์มาก</v>
          </cell>
          <cell r="G95" t="str">
            <v>พย.บรก.</v>
          </cell>
        </row>
        <row r="96">
          <cell r="B96">
            <v>640062</v>
          </cell>
          <cell r="C96" t="str">
            <v>นาย</v>
          </cell>
          <cell r="E96" t="str">
            <v>จิราวุฒิ</v>
          </cell>
          <cell r="F96" t="str">
            <v>มหาโยธิน</v>
          </cell>
          <cell r="G96" t="str">
            <v>พย.บรก.</v>
          </cell>
        </row>
        <row r="97">
          <cell r="B97">
            <v>650024</v>
          </cell>
          <cell r="C97" t="str">
            <v>นาย</v>
          </cell>
          <cell r="E97" t="str">
            <v>ภานุพัฒน์</v>
          </cell>
          <cell r="F97" t="str">
            <v>สุขศิริ</v>
          </cell>
          <cell r="G97" t="str">
            <v>พย.บรก.</v>
          </cell>
        </row>
        <row r="98">
          <cell r="B98">
            <v>330026</v>
          </cell>
          <cell r="C98" t="str">
            <v>นาง</v>
          </cell>
          <cell r="E98" t="str">
            <v>ติรวัฒนา</v>
          </cell>
          <cell r="F98" t="str">
            <v>คุ้มวงศ์ดี</v>
          </cell>
          <cell r="G98" t="str">
            <v>กช.บรก.</v>
          </cell>
        </row>
        <row r="99">
          <cell r="B99">
            <v>360077</v>
          </cell>
          <cell r="C99" t="str">
            <v>นาย</v>
          </cell>
          <cell r="E99" t="str">
            <v>สุเทพ</v>
          </cell>
          <cell r="F99" t="str">
            <v>มีใจดี</v>
          </cell>
          <cell r="G99" t="str">
            <v>กช.บรก.</v>
          </cell>
        </row>
        <row r="100">
          <cell r="B100">
            <v>580103</v>
          </cell>
          <cell r="C100" t="str">
            <v>น.ส.</v>
          </cell>
          <cell r="E100" t="str">
            <v>นนทิญา</v>
          </cell>
          <cell r="F100" t="str">
            <v>ช่อทอง</v>
          </cell>
          <cell r="G100" t="str">
            <v>กช.บรก.</v>
          </cell>
        </row>
        <row r="101">
          <cell r="B101">
            <v>600031</v>
          </cell>
          <cell r="C101" t="str">
            <v>น.ส.</v>
          </cell>
          <cell r="E101" t="str">
            <v>ทิพย์พาพรรณ</v>
          </cell>
          <cell r="F101" t="str">
            <v>สันตระกูล</v>
          </cell>
          <cell r="G101" t="str">
            <v>กช.บรก.</v>
          </cell>
        </row>
        <row r="102">
          <cell r="B102">
            <v>600187</v>
          </cell>
          <cell r="C102" t="str">
            <v>น.ส.</v>
          </cell>
          <cell r="E102" t="str">
            <v>วริยา</v>
          </cell>
          <cell r="F102" t="str">
            <v>ณรงค์แสง</v>
          </cell>
          <cell r="G102" t="str">
            <v>กช.บรก.</v>
          </cell>
        </row>
        <row r="103">
          <cell r="B103">
            <v>610156</v>
          </cell>
          <cell r="C103" t="str">
            <v>น.ส.</v>
          </cell>
          <cell r="E103" t="str">
            <v>ศกลวรรณ</v>
          </cell>
          <cell r="F103" t="str">
            <v>กุลจรัส</v>
          </cell>
          <cell r="G103" t="str">
            <v>กช.บรก.</v>
          </cell>
        </row>
        <row r="104">
          <cell r="B104">
            <v>610182</v>
          </cell>
          <cell r="C104" t="str">
            <v>น.ส.</v>
          </cell>
          <cell r="E104" t="str">
            <v>เอื้ออังกูร</v>
          </cell>
          <cell r="F104" t="str">
            <v>มหาวงค์</v>
          </cell>
          <cell r="G104" t="str">
            <v>กช.บรก.</v>
          </cell>
        </row>
        <row r="105">
          <cell r="B105">
            <v>630047</v>
          </cell>
          <cell r="C105" t="str">
            <v>น.ส.</v>
          </cell>
          <cell r="E105" t="str">
            <v>ธันยมัย</v>
          </cell>
          <cell r="F105" t="str">
            <v>พ.จานุพิบูล</v>
          </cell>
          <cell r="G105" t="str">
            <v>กช.บรก.</v>
          </cell>
        </row>
        <row r="106">
          <cell r="B106">
            <v>650106</v>
          </cell>
          <cell r="C106" t="str">
            <v>นาย</v>
          </cell>
          <cell r="E106" t="str">
            <v>นนทนัตถ์</v>
          </cell>
          <cell r="F106" t="str">
            <v>รัตนกุญชร</v>
          </cell>
          <cell r="G106" t="str">
            <v>กช.บรก.</v>
          </cell>
        </row>
        <row r="107">
          <cell r="B107">
            <v>680043</v>
          </cell>
          <cell r="C107" t="str">
            <v>น.ส.</v>
          </cell>
          <cell r="E107" t="str">
            <v>ณัฐกานต์</v>
          </cell>
          <cell r="F107" t="str">
            <v>พุ่มพวง</v>
          </cell>
          <cell r="G107" t="str">
            <v>กช.บรก.</v>
          </cell>
        </row>
        <row r="108">
          <cell r="B108">
            <v>490145</v>
          </cell>
          <cell r="C108" t="str">
            <v>นาย</v>
          </cell>
          <cell r="E108" t="str">
            <v>ชาญชัย</v>
          </cell>
          <cell r="F108" t="str">
            <v>กิตติเลิศเสถียร</v>
          </cell>
          <cell r="G108" t="str">
            <v>พน.บรก.</v>
          </cell>
        </row>
        <row r="109">
          <cell r="B109">
            <v>550057</v>
          </cell>
          <cell r="C109" t="str">
            <v>น.ส.</v>
          </cell>
          <cell r="E109" t="str">
            <v>เบญจพร</v>
          </cell>
          <cell r="F109" t="str">
            <v>พุ่มลำเจียก</v>
          </cell>
          <cell r="G109" t="str">
            <v>พน.บรก.</v>
          </cell>
        </row>
        <row r="110">
          <cell r="B110">
            <v>660087</v>
          </cell>
          <cell r="C110" t="str">
            <v>น.ส.</v>
          </cell>
          <cell r="E110" t="str">
            <v>ณัฐธยาน์</v>
          </cell>
          <cell r="F110" t="str">
            <v>สุวรรณรัตน์</v>
          </cell>
          <cell r="G110" t="str">
            <v>พน.บรก.</v>
          </cell>
        </row>
        <row r="111">
          <cell r="B111">
            <v>670041</v>
          </cell>
          <cell r="C111" t="str">
            <v>นาย</v>
          </cell>
          <cell r="E111" t="str">
            <v>สิทธิกร</v>
          </cell>
          <cell r="F111" t="str">
            <v>แย้มเกษร</v>
          </cell>
          <cell r="G111" t="str">
            <v>พน.บรก.</v>
          </cell>
        </row>
        <row r="112">
          <cell r="B112">
            <v>330077</v>
          </cell>
          <cell r="C112" t="str">
            <v>นาย</v>
          </cell>
          <cell r="E112" t="str">
            <v>อำนาจ</v>
          </cell>
          <cell r="F112" t="str">
            <v>อุดม</v>
          </cell>
          <cell r="G112" t="str">
            <v>ยรก.</v>
          </cell>
        </row>
        <row r="113">
          <cell r="B113">
            <v>360080</v>
          </cell>
          <cell r="C113" t="str">
            <v>นาย</v>
          </cell>
          <cell r="E113" t="str">
            <v>อนุโรจน์</v>
          </cell>
          <cell r="F113" t="str">
            <v>วัฒนยืนยง</v>
          </cell>
          <cell r="G113" t="str">
            <v>ปผ.ยรก.</v>
          </cell>
        </row>
        <row r="114">
          <cell r="B114">
            <v>480223</v>
          </cell>
          <cell r="C114" t="str">
            <v>นาย</v>
          </cell>
          <cell r="E114" t="str">
            <v>สุรชัย</v>
          </cell>
          <cell r="F114" t="str">
            <v>จากผา</v>
          </cell>
          <cell r="G114" t="str">
            <v>ผ.คผ.A ปผ.</v>
          </cell>
        </row>
        <row r="115">
          <cell r="B115">
            <v>480044</v>
          </cell>
          <cell r="C115" t="str">
            <v>นาย</v>
          </cell>
          <cell r="E115" t="str">
            <v>สิรภพ</v>
          </cell>
          <cell r="F115" t="str">
            <v>บำเพ็ญผล</v>
          </cell>
          <cell r="G115" t="str">
            <v>ผ.คผ.A ปผ.</v>
          </cell>
        </row>
        <row r="116">
          <cell r="B116">
            <v>480240</v>
          </cell>
          <cell r="C116" t="str">
            <v>นาย</v>
          </cell>
          <cell r="E116" t="str">
            <v>กมลวัต</v>
          </cell>
          <cell r="F116" t="str">
            <v>กมลพรสิริกุล</v>
          </cell>
          <cell r="G116" t="str">
            <v>ผ.คผ.A ปผ.</v>
          </cell>
        </row>
        <row r="117">
          <cell r="B117">
            <v>520096</v>
          </cell>
          <cell r="C117" t="str">
            <v>นาย</v>
          </cell>
          <cell r="E117" t="str">
            <v>ธนพนธ์</v>
          </cell>
          <cell r="F117" t="str">
            <v>สุขเทศ</v>
          </cell>
          <cell r="G117" t="str">
            <v>ผ.คผ.A ปผ.</v>
          </cell>
        </row>
        <row r="118">
          <cell r="B118">
            <v>530055</v>
          </cell>
          <cell r="C118" t="str">
            <v>นาย</v>
          </cell>
          <cell r="E118" t="str">
            <v>วิชัย</v>
          </cell>
          <cell r="F118" t="str">
            <v>วรรณพราหมณ์</v>
          </cell>
          <cell r="G118" t="str">
            <v>ผ.คผ.A ปผ.</v>
          </cell>
        </row>
        <row r="119">
          <cell r="B119">
            <v>480211</v>
          </cell>
          <cell r="C119" t="str">
            <v>นาย</v>
          </cell>
          <cell r="E119" t="str">
            <v>นพ</v>
          </cell>
          <cell r="F119" t="str">
            <v>ธนาภรณ์</v>
          </cell>
          <cell r="G119" t="str">
            <v>ผ.คผ.A ปผ.</v>
          </cell>
        </row>
        <row r="120">
          <cell r="B120">
            <v>580056</v>
          </cell>
          <cell r="C120" t="str">
            <v>นาย</v>
          </cell>
          <cell r="E120" t="str">
            <v>บุรินทร์</v>
          </cell>
          <cell r="F120" t="str">
            <v>ไชยเศรษฐ์</v>
          </cell>
          <cell r="G120" t="str">
            <v>ผ.คผ.A ปผ.</v>
          </cell>
        </row>
        <row r="121">
          <cell r="B121">
            <v>580255</v>
          </cell>
          <cell r="C121" t="str">
            <v>นาย</v>
          </cell>
          <cell r="E121" t="str">
            <v>ภานุเดช</v>
          </cell>
          <cell r="F121" t="str">
            <v>ศรีพรมษา</v>
          </cell>
          <cell r="G121" t="str">
            <v>ผ.คผ.A ปผ.</v>
          </cell>
        </row>
        <row r="122">
          <cell r="B122">
            <v>660101</v>
          </cell>
          <cell r="C122" t="str">
            <v>นาย</v>
          </cell>
          <cell r="E122" t="str">
            <v>พสิษฐ์</v>
          </cell>
          <cell r="F122" t="str">
            <v>อินทนาศักดิ์</v>
          </cell>
          <cell r="G122" t="str">
            <v>ผ.คผ.A ปผ.</v>
          </cell>
        </row>
        <row r="123">
          <cell r="B123">
            <v>670129</v>
          </cell>
          <cell r="C123" t="str">
            <v>นาย</v>
          </cell>
          <cell r="E123" t="str">
            <v>ปิยะพัทธ์</v>
          </cell>
          <cell r="F123" t="str">
            <v>นาคโชติ</v>
          </cell>
          <cell r="G123" t="str">
            <v>ผ.คผ.A ปผ.</v>
          </cell>
        </row>
        <row r="124">
          <cell r="B124">
            <v>350076</v>
          </cell>
          <cell r="C124" t="str">
            <v>นาย</v>
          </cell>
          <cell r="E124" t="str">
            <v>ดิลก</v>
          </cell>
          <cell r="F124" t="str">
            <v>แป้นเนียม</v>
          </cell>
          <cell r="G124" t="str">
            <v>ผ.คผ.B ปผ.</v>
          </cell>
        </row>
        <row r="125">
          <cell r="B125">
            <v>480197</v>
          </cell>
          <cell r="C125" t="str">
            <v>นาย</v>
          </cell>
          <cell r="E125" t="str">
            <v>เอกราช</v>
          </cell>
          <cell r="F125" t="str">
            <v>เกิดผล</v>
          </cell>
          <cell r="G125" t="str">
            <v>ผ.คผ.B ปผ.</v>
          </cell>
        </row>
        <row r="126">
          <cell r="B126">
            <v>480177</v>
          </cell>
          <cell r="C126" t="str">
            <v>นาย</v>
          </cell>
          <cell r="E126" t="str">
            <v>วาริ</v>
          </cell>
          <cell r="F126" t="str">
            <v>อภิโรจนการ</v>
          </cell>
          <cell r="G126" t="str">
            <v>ผ.คผ.B ปผ.</v>
          </cell>
        </row>
        <row r="127">
          <cell r="B127">
            <v>480215</v>
          </cell>
          <cell r="C127" t="str">
            <v>นาย</v>
          </cell>
          <cell r="E127" t="str">
            <v>สุธีร์</v>
          </cell>
          <cell r="F127" t="str">
            <v>บังเกิดลาภ</v>
          </cell>
          <cell r="G127" t="str">
            <v>ผ.คผ.B ปผ.</v>
          </cell>
        </row>
        <row r="128">
          <cell r="B128">
            <v>490072</v>
          </cell>
          <cell r="C128" t="str">
            <v>นาย</v>
          </cell>
          <cell r="E128" t="str">
            <v>เอกลักษณ์</v>
          </cell>
          <cell r="F128" t="str">
            <v>ชูบุญ</v>
          </cell>
          <cell r="G128" t="str">
            <v>ผ.คผ.B ปผ.</v>
          </cell>
        </row>
        <row r="129">
          <cell r="B129">
            <v>480212</v>
          </cell>
          <cell r="C129" t="str">
            <v>นาย</v>
          </cell>
          <cell r="E129" t="str">
            <v>ปรมินทร์</v>
          </cell>
          <cell r="F129" t="str">
            <v>พรมมาแข้</v>
          </cell>
          <cell r="G129" t="str">
            <v>ผ.คผ.B ปผ.</v>
          </cell>
        </row>
        <row r="130">
          <cell r="B130">
            <v>490037</v>
          </cell>
          <cell r="C130" t="str">
            <v>นาย</v>
          </cell>
          <cell r="E130" t="str">
            <v>วิธาน</v>
          </cell>
          <cell r="F130" t="str">
            <v>สีเสม</v>
          </cell>
          <cell r="G130" t="str">
            <v>ผ.คผ.B ปผ.</v>
          </cell>
        </row>
        <row r="131">
          <cell r="B131">
            <v>540128</v>
          </cell>
          <cell r="C131" t="str">
            <v>นาย</v>
          </cell>
          <cell r="E131" t="str">
            <v>บรรจักร</v>
          </cell>
          <cell r="F131" t="str">
            <v>เบ็ญเจิด</v>
          </cell>
          <cell r="G131" t="str">
            <v>ผ.คผ.B ปผ.</v>
          </cell>
        </row>
        <row r="132">
          <cell r="B132">
            <v>580256</v>
          </cell>
          <cell r="C132" t="str">
            <v>นาย</v>
          </cell>
          <cell r="D132" t="str">
            <v>ส.อ.</v>
          </cell>
          <cell r="E132" t="str">
            <v>อดิศักดิ์</v>
          </cell>
          <cell r="F132" t="str">
            <v>มณีมัย</v>
          </cell>
          <cell r="G132" t="str">
            <v>ผ.คผ.B ปผ.</v>
          </cell>
        </row>
        <row r="133">
          <cell r="B133">
            <v>680084</v>
          </cell>
          <cell r="C133" t="str">
            <v>นาย</v>
          </cell>
          <cell r="E133" t="str">
            <v>ปิยวัฒน์</v>
          </cell>
          <cell r="F133" t="str">
            <v>ใจสบาย</v>
          </cell>
          <cell r="G133" t="str">
            <v>ผ.คผ.B ปผ.</v>
          </cell>
        </row>
        <row r="134">
          <cell r="B134">
            <v>360071</v>
          </cell>
          <cell r="C134" t="str">
            <v>นาย</v>
          </cell>
          <cell r="E134" t="str">
            <v>กฤษชัย</v>
          </cell>
          <cell r="F134" t="str">
            <v>ก้านขุนทด</v>
          </cell>
          <cell r="G134" t="str">
            <v>ผ.คผ.C ปผ.</v>
          </cell>
        </row>
        <row r="135">
          <cell r="B135">
            <v>480231</v>
          </cell>
          <cell r="C135" t="str">
            <v>นาย</v>
          </cell>
          <cell r="E135" t="str">
            <v>พัชรพงษ์</v>
          </cell>
          <cell r="F135" t="str">
            <v>บุษบงค์</v>
          </cell>
          <cell r="G135" t="str">
            <v>ผ.คผ.C ปผ.</v>
          </cell>
        </row>
        <row r="136">
          <cell r="B136">
            <v>490118</v>
          </cell>
          <cell r="C136" t="str">
            <v>นาย</v>
          </cell>
          <cell r="E136" t="str">
            <v>พิเชฐ</v>
          </cell>
          <cell r="F136" t="str">
            <v>บุญทันเสน</v>
          </cell>
          <cell r="G136" t="str">
            <v>ผ.คผ.C ปผ.</v>
          </cell>
        </row>
        <row r="137">
          <cell r="B137">
            <v>500104</v>
          </cell>
          <cell r="C137" t="str">
            <v>นาย</v>
          </cell>
          <cell r="E137" t="str">
            <v>เสรี</v>
          </cell>
          <cell r="F137" t="str">
            <v>สนั่นไหว</v>
          </cell>
          <cell r="G137" t="str">
            <v>ผ.คผ.C ปผ.</v>
          </cell>
        </row>
        <row r="138">
          <cell r="B138">
            <v>540020</v>
          </cell>
          <cell r="C138" t="str">
            <v>นาย</v>
          </cell>
          <cell r="E138" t="str">
            <v>จตุรงค์</v>
          </cell>
          <cell r="F138" t="str">
            <v>ทองยิ่ง</v>
          </cell>
          <cell r="G138" t="str">
            <v>ผ.คผ.C ปผ.</v>
          </cell>
        </row>
        <row r="139">
          <cell r="B139">
            <v>550165</v>
          </cell>
          <cell r="C139" t="str">
            <v>นาย</v>
          </cell>
          <cell r="E139" t="str">
            <v>อภิลักษณ์</v>
          </cell>
          <cell r="F139" t="str">
            <v>ตันเพ็ง</v>
          </cell>
          <cell r="G139" t="str">
            <v>ผ.คผ.C ปผ.</v>
          </cell>
        </row>
        <row r="140">
          <cell r="B140">
            <v>480225</v>
          </cell>
          <cell r="C140" t="str">
            <v>นาย</v>
          </cell>
          <cell r="E140" t="str">
            <v>นิวัฒน์</v>
          </cell>
          <cell r="F140" t="str">
            <v>หิงสันเทียะ</v>
          </cell>
          <cell r="G140" t="str">
            <v>ผ.คผ.C ปผ.</v>
          </cell>
        </row>
        <row r="141">
          <cell r="B141">
            <v>530084</v>
          </cell>
          <cell r="C141" t="str">
            <v>นาย</v>
          </cell>
          <cell r="E141" t="str">
            <v>ธนะชัย</v>
          </cell>
          <cell r="F141" t="str">
            <v>โชติช่วง</v>
          </cell>
          <cell r="G141" t="str">
            <v>ผ.คผ.C ปผ.</v>
          </cell>
        </row>
        <row r="142">
          <cell r="B142">
            <v>640055</v>
          </cell>
          <cell r="C142" t="str">
            <v>นาย</v>
          </cell>
          <cell r="E142" t="str">
            <v>ศิริพจน์</v>
          </cell>
          <cell r="F142" t="str">
            <v>ปิณฑะศิริ</v>
          </cell>
          <cell r="G142" t="str">
            <v>ผ.คผ.C ปผ.</v>
          </cell>
        </row>
        <row r="143">
          <cell r="B143">
            <v>680091</v>
          </cell>
          <cell r="C143" t="str">
            <v>นาย</v>
          </cell>
          <cell r="E143" t="str">
            <v>ธีรพัฒน์</v>
          </cell>
          <cell r="F143" t="str">
            <v>ผลานารถ</v>
          </cell>
          <cell r="G143" t="str">
            <v>ผ.คผ.C ปผ.</v>
          </cell>
        </row>
        <row r="144">
          <cell r="B144">
            <v>480232</v>
          </cell>
          <cell r="C144" t="str">
            <v>นาย</v>
          </cell>
          <cell r="E144" t="str">
            <v>เกรียงไกร</v>
          </cell>
          <cell r="F144" t="str">
            <v>เตชะเทียมจันทร์</v>
          </cell>
          <cell r="G144" t="str">
            <v>ผ.คผ.D ปผ.</v>
          </cell>
        </row>
        <row r="145">
          <cell r="B145">
            <v>470057</v>
          </cell>
          <cell r="C145" t="str">
            <v>นาย</v>
          </cell>
          <cell r="E145" t="str">
            <v>อนุวัฒน์</v>
          </cell>
          <cell r="F145" t="str">
            <v>ทองเสริม</v>
          </cell>
          <cell r="G145" t="str">
            <v>ผ.คผ.D ปผ.</v>
          </cell>
        </row>
        <row r="146">
          <cell r="B146">
            <v>470058</v>
          </cell>
          <cell r="C146" t="str">
            <v>นาย</v>
          </cell>
          <cell r="E146" t="str">
            <v>นิธิวัชร์</v>
          </cell>
          <cell r="F146" t="str">
            <v>วราสิริเลิศชัย</v>
          </cell>
          <cell r="G146" t="str">
            <v>ผ.คผ.D ปผ.</v>
          </cell>
        </row>
        <row r="147">
          <cell r="B147">
            <v>500103</v>
          </cell>
          <cell r="C147" t="str">
            <v>นาย</v>
          </cell>
          <cell r="E147" t="str">
            <v>บุญส่ง</v>
          </cell>
          <cell r="F147" t="str">
            <v>แฮะประโคน</v>
          </cell>
          <cell r="G147" t="str">
            <v>ผ.คผ.D ปผ.</v>
          </cell>
        </row>
        <row r="148">
          <cell r="B148">
            <v>530152</v>
          </cell>
          <cell r="C148" t="str">
            <v>นาย</v>
          </cell>
          <cell r="E148" t="str">
            <v>ปฐมพร</v>
          </cell>
          <cell r="F148" t="str">
            <v>สีหาเสนา</v>
          </cell>
          <cell r="G148" t="str">
            <v>ผ.คผ.D ปผ.</v>
          </cell>
        </row>
        <row r="149">
          <cell r="B149">
            <v>540327</v>
          </cell>
          <cell r="C149" t="str">
            <v>นาย</v>
          </cell>
          <cell r="E149" t="str">
            <v>จตุรงค์</v>
          </cell>
          <cell r="F149" t="str">
            <v>ผ่องสุวรรณ</v>
          </cell>
          <cell r="G149" t="str">
            <v>ผ.คผ.D ปผ.</v>
          </cell>
        </row>
        <row r="150">
          <cell r="B150">
            <v>550056</v>
          </cell>
          <cell r="C150" t="str">
            <v>นาย</v>
          </cell>
          <cell r="E150" t="str">
            <v>เฉลิม</v>
          </cell>
          <cell r="F150" t="str">
            <v>เกษรศิริ</v>
          </cell>
          <cell r="G150" t="str">
            <v>ผ.คผ.D ปผ.</v>
          </cell>
        </row>
        <row r="151">
          <cell r="B151">
            <v>550188</v>
          </cell>
          <cell r="C151" t="str">
            <v>นาย</v>
          </cell>
          <cell r="E151" t="str">
            <v>เกรียงไกร</v>
          </cell>
          <cell r="F151" t="str">
            <v>เสงี่ยมจิตต์</v>
          </cell>
          <cell r="G151" t="str">
            <v>ผ.คผ.D ปผ.</v>
          </cell>
        </row>
        <row r="152">
          <cell r="B152">
            <v>580271</v>
          </cell>
          <cell r="C152" t="str">
            <v>นาย</v>
          </cell>
          <cell r="E152" t="str">
            <v>สุรศักดิ์</v>
          </cell>
          <cell r="F152" t="str">
            <v>นเรนสด</v>
          </cell>
          <cell r="G152" t="str">
            <v>ผ.คผ.D ปผ.</v>
          </cell>
        </row>
        <row r="153">
          <cell r="B153">
            <v>580295</v>
          </cell>
          <cell r="C153" t="str">
            <v>นาย</v>
          </cell>
          <cell r="E153" t="str">
            <v>สหรัฐ</v>
          </cell>
          <cell r="F153" t="str">
            <v>เจริญสุข</v>
          </cell>
          <cell r="G153" t="str">
            <v>ผ.คผ.D ปผ.</v>
          </cell>
        </row>
        <row r="154">
          <cell r="B154">
            <v>360074</v>
          </cell>
          <cell r="C154" t="str">
            <v>นาย</v>
          </cell>
          <cell r="E154" t="str">
            <v>บัณฑพล</v>
          </cell>
          <cell r="F154" t="str">
            <v>ดวงประทุม</v>
          </cell>
          <cell r="G154" t="str">
            <v>ปอ.ยรก.</v>
          </cell>
        </row>
        <row r="155">
          <cell r="B155">
            <v>480227</v>
          </cell>
          <cell r="C155" t="str">
            <v>นาย</v>
          </cell>
          <cell r="E155" t="str">
            <v>พีรศักดิ์</v>
          </cell>
          <cell r="F155" t="str">
            <v>ชื่นศิริกุล</v>
          </cell>
          <cell r="G155" t="str">
            <v>ผ.ปก.A ปอ.</v>
          </cell>
        </row>
        <row r="156">
          <cell r="B156">
            <v>500159</v>
          </cell>
          <cell r="C156" t="str">
            <v>นาย</v>
          </cell>
          <cell r="E156" t="str">
            <v>ยงยุทธ์</v>
          </cell>
          <cell r="F156" t="str">
            <v>ปกป้อง</v>
          </cell>
          <cell r="G156" t="str">
            <v>ผ.ปก.A ปอ.</v>
          </cell>
        </row>
        <row r="157">
          <cell r="B157">
            <v>480214</v>
          </cell>
          <cell r="C157" t="str">
            <v>นาย</v>
          </cell>
          <cell r="E157" t="str">
            <v>กิตติ</v>
          </cell>
          <cell r="F157" t="str">
            <v>ปิ่นแก้ว</v>
          </cell>
          <cell r="G157" t="str">
            <v>ผ.ปก.A ปอ.</v>
          </cell>
        </row>
        <row r="158">
          <cell r="B158">
            <v>540331</v>
          </cell>
          <cell r="C158" t="str">
            <v>นาย</v>
          </cell>
          <cell r="E158" t="str">
            <v>ศิริศักดิ์</v>
          </cell>
          <cell r="F158" t="str">
            <v>ศรีธาราม</v>
          </cell>
          <cell r="G158" t="str">
            <v>ผ.ปก.A ปอ.</v>
          </cell>
        </row>
        <row r="159">
          <cell r="B159">
            <v>550189</v>
          </cell>
          <cell r="C159" t="str">
            <v>นาย</v>
          </cell>
          <cell r="E159" t="str">
            <v>เอกกร</v>
          </cell>
          <cell r="F159" t="str">
            <v>เพชรเศรษฐ</v>
          </cell>
          <cell r="G159" t="str">
            <v>ผ.ปก.A ปอ.</v>
          </cell>
        </row>
        <row r="160">
          <cell r="B160">
            <v>560184</v>
          </cell>
          <cell r="C160" t="str">
            <v>นาย</v>
          </cell>
          <cell r="E160" t="str">
            <v>กฤษฎา</v>
          </cell>
          <cell r="F160" t="str">
            <v>คณะแพง</v>
          </cell>
          <cell r="G160" t="str">
            <v>ผ.ปก.A ปอ.</v>
          </cell>
        </row>
        <row r="161">
          <cell r="B161">
            <v>680049</v>
          </cell>
          <cell r="C161" t="str">
            <v>นาย</v>
          </cell>
          <cell r="D161" t="str">
            <v>ร.ท.</v>
          </cell>
          <cell r="E161" t="str">
            <v>ประจักษ์</v>
          </cell>
          <cell r="F161" t="str">
            <v>เขาจารี ร.น.</v>
          </cell>
          <cell r="G161" t="str">
            <v>ผ.ปก.A ปอ.</v>
          </cell>
        </row>
        <row r="162">
          <cell r="B162">
            <v>680111</v>
          </cell>
          <cell r="C162" t="str">
            <v>นาย</v>
          </cell>
          <cell r="E162" t="str">
            <v>มงคล</v>
          </cell>
          <cell r="F162" t="str">
            <v>ชอบจิตร</v>
          </cell>
          <cell r="G162" t="str">
            <v>ผ.ปก.A ปอ.</v>
          </cell>
        </row>
        <row r="163">
          <cell r="B163">
            <v>470036</v>
          </cell>
          <cell r="C163" t="str">
            <v>นาย</v>
          </cell>
          <cell r="E163" t="str">
            <v>วินัย</v>
          </cell>
          <cell r="F163" t="str">
            <v>ภักดีกุลสิริ</v>
          </cell>
          <cell r="G163" t="str">
            <v>ผ.ปก.B ปอ.</v>
          </cell>
        </row>
        <row r="164">
          <cell r="B164">
            <v>480025</v>
          </cell>
          <cell r="C164" t="str">
            <v>นาย</v>
          </cell>
          <cell r="E164" t="str">
            <v>ชาญณรงค์</v>
          </cell>
          <cell r="F164" t="str">
            <v>บุญฤทธิ์</v>
          </cell>
          <cell r="G164" t="str">
            <v>ผ.ปก.B ปอ.</v>
          </cell>
        </row>
        <row r="165">
          <cell r="B165">
            <v>520093</v>
          </cell>
          <cell r="C165" t="str">
            <v>นาย</v>
          </cell>
          <cell r="E165" t="str">
            <v>คฑาวุธ</v>
          </cell>
          <cell r="F165" t="str">
            <v>สารจิตร</v>
          </cell>
          <cell r="G165" t="str">
            <v>ผ.ปก.B ปอ.</v>
          </cell>
        </row>
        <row r="166">
          <cell r="B166">
            <v>490049</v>
          </cell>
          <cell r="C166" t="str">
            <v>นาย</v>
          </cell>
          <cell r="E166" t="str">
            <v>ไพรวัลย์</v>
          </cell>
          <cell r="F166" t="str">
            <v>เพ็งธรรม</v>
          </cell>
          <cell r="G166" t="str">
            <v>ผ.ปก.B ปอ.</v>
          </cell>
        </row>
        <row r="167">
          <cell r="B167">
            <v>550187</v>
          </cell>
          <cell r="C167" t="str">
            <v>นาย</v>
          </cell>
          <cell r="E167" t="str">
            <v>คุณณา</v>
          </cell>
          <cell r="F167" t="str">
            <v>รัตนาวดี</v>
          </cell>
          <cell r="G167" t="str">
            <v>ผ.ปก.B ปอ.</v>
          </cell>
        </row>
        <row r="168">
          <cell r="B168">
            <v>570123</v>
          </cell>
          <cell r="C168" t="str">
            <v>นาย</v>
          </cell>
          <cell r="E168" t="str">
            <v>วัชรพงษ์</v>
          </cell>
          <cell r="F168" t="str">
            <v>ไตรสอน</v>
          </cell>
          <cell r="G168" t="str">
            <v>ผ.ปก.B ปอ.</v>
          </cell>
        </row>
        <row r="169">
          <cell r="B169">
            <v>680051</v>
          </cell>
          <cell r="C169" t="str">
            <v>นาย</v>
          </cell>
          <cell r="E169" t="str">
            <v>นิมิตร</v>
          </cell>
          <cell r="F169" t="str">
            <v>เพียรธัญกรณ์</v>
          </cell>
          <cell r="G169" t="str">
            <v>ผ.ปก.B ปอ.</v>
          </cell>
        </row>
        <row r="170">
          <cell r="B170">
            <v>680028</v>
          </cell>
          <cell r="C170" t="str">
            <v>นาย</v>
          </cell>
          <cell r="E170" t="str">
            <v>ธนวัฒน์</v>
          </cell>
          <cell r="F170" t="str">
            <v>วงษ์สิริพาณิชย์</v>
          </cell>
          <cell r="G170" t="str">
            <v>ผ.ปก.B ปอ.</v>
          </cell>
        </row>
        <row r="171">
          <cell r="B171">
            <v>470066</v>
          </cell>
          <cell r="C171" t="str">
            <v>นาย</v>
          </cell>
          <cell r="E171" t="str">
            <v>กฤษฏางค์</v>
          </cell>
          <cell r="F171" t="str">
            <v>เลิศสวัสดิ์</v>
          </cell>
          <cell r="G171" t="str">
            <v>ผ.ปก.C ปอ.</v>
          </cell>
        </row>
        <row r="172">
          <cell r="B172">
            <v>520133</v>
          </cell>
          <cell r="C172" t="str">
            <v>นาย</v>
          </cell>
          <cell r="E172" t="str">
            <v>พิชิต</v>
          </cell>
          <cell r="F172" t="str">
            <v>เจริญเอกลาภ</v>
          </cell>
          <cell r="G172" t="str">
            <v>ผ.ปก.C ปอ.</v>
          </cell>
        </row>
        <row r="173">
          <cell r="B173">
            <v>500186</v>
          </cell>
          <cell r="C173" t="str">
            <v>นาย</v>
          </cell>
          <cell r="E173" t="str">
            <v>นพดล</v>
          </cell>
          <cell r="F173" t="str">
            <v>ตรีนพเทวินทร์</v>
          </cell>
          <cell r="G173" t="str">
            <v>ผ.ปก.C ปอ.</v>
          </cell>
        </row>
        <row r="174">
          <cell r="B174">
            <v>470064</v>
          </cell>
          <cell r="C174" t="str">
            <v>นาย</v>
          </cell>
          <cell r="D174" t="str">
            <v>ว่าที่ ร.ต.</v>
          </cell>
          <cell r="E174" t="str">
            <v>ภูริวัจน</v>
          </cell>
          <cell r="F174" t="str">
            <v>พุกภิญโญ</v>
          </cell>
          <cell r="G174" t="str">
            <v>ผ.ปก.C ปอ.</v>
          </cell>
        </row>
        <row r="175">
          <cell r="B175">
            <v>580048</v>
          </cell>
          <cell r="C175" t="str">
            <v>นาย</v>
          </cell>
          <cell r="E175" t="str">
            <v>ฉัตรชัย</v>
          </cell>
          <cell r="F175" t="str">
            <v>ไสยสุข</v>
          </cell>
          <cell r="G175" t="str">
            <v>ผ.ปก.C ปอ.</v>
          </cell>
        </row>
        <row r="176">
          <cell r="B176">
            <v>590139</v>
          </cell>
          <cell r="C176" t="str">
            <v>นาย</v>
          </cell>
          <cell r="E176" t="str">
            <v>ชัยวัฒน์</v>
          </cell>
          <cell r="F176" t="str">
            <v>หนูหอม</v>
          </cell>
          <cell r="G176" t="str">
            <v>ผ.ปก.C ปอ.</v>
          </cell>
        </row>
        <row r="177">
          <cell r="B177">
            <v>680052</v>
          </cell>
          <cell r="C177" t="str">
            <v>นาย</v>
          </cell>
          <cell r="E177" t="str">
            <v>พิเชษฐ์</v>
          </cell>
          <cell r="F177" t="str">
            <v>วิริยะ</v>
          </cell>
          <cell r="G177" t="str">
            <v>ผ.ปก.C ปอ.</v>
          </cell>
        </row>
        <row r="178">
          <cell r="B178">
            <v>690021</v>
          </cell>
          <cell r="C178" t="str">
            <v>นาย</v>
          </cell>
          <cell r="E178" t="str">
            <v>พลวัฒน์</v>
          </cell>
          <cell r="F178" t="str">
            <v>บุญเชิด</v>
          </cell>
          <cell r="G178" t="str">
            <v>ผ.ปก.C ปอ.</v>
          </cell>
        </row>
        <row r="179">
          <cell r="B179">
            <v>440047</v>
          </cell>
          <cell r="C179" t="str">
            <v>นาย</v>
          </cell>
          <cell r="E179" t="str">
            <v>อัมเรศ</v>
          </cell>
          <cell r="F179" t="str">
            <v>สีนวล</v>
          </cell>
          <cell r="G179" t="str">
            <v>ผ.ปก.D ปอ.</v>
          </cell>
        </row>
        <row r="180">
          <cell r="B180">
            <v>480189</v>
          </cell>
          <cell r="C180" t="str">
            <v>นาย</v>
          </cell>
          <cell r="E180" t="str">
            <v>เสริมศักดิ์</v>
          </cell>
          <cell r="F180" t="str">
            <v>ดำรงชีพ</v>
          </cell>
          <cell r="G180" t="str">
            <v>ผ.ปก.D ปอ.</v>
          </cell>
        </row>
        <row r="181">
          <cell r="B181">
            <v>540329</v>
          </cell>
          <cell r="C181" t="str">
            <v>นาย</v>
          </cell>
          <cell r="E181" t="str">
            <v>นำโชค</v>
          </cell>
          <cell r="F181" t="str">
            <v>โรยนรินทร์</v>
          </cell>
          <cell r="G181" t="str">
            <v>ผ.ปก.D ปอ.</v>
          </cell>
        </row>
        <row r="182">
          <cell r="B182">
            <v>550185</v>
          </cell>
          <cell r="C182" t="str">
            <v>นาย</v>
          </cell>
          <cell r="E182" t="str">
            <v>วรพล</v>
          </cell>
          <cell r="F182" t="str">
            <v>แสงเพชร</v>
          </cell>
          <cell r="G182" t="str">
            <v>ผ.ปก.D ปอ.</v>
          </cell>
        </row>
        <row r="183">
          <cell r="B183">
            <v>560009</v>
          </cell>
          <cell r="C183" t="str">
            <v>นาย</v>
          </cell>
          <cell r="E183" t="str">
            <v>ศรชัย</v>
          </cell>
          <cell r="F183" t="str">
            <v>อุดหมอ</v>
          </cell>
          <cell r="G183" t="str">
            <v>ผ.ปก.D ปอ.</v>
          </cell>
        </row>
        <row r="184">
          <cell r="B184">
            <v>480076</v>
          </cell>
          <cell r="C184" t="str">
            <v>นาย</v>
          </cell>
          <cell r="E184" t="str">
            <v>เกียรติศักดิ์</v>
          </cell>
          <cell r="F184" t="str">
            <v>ไทยวัฒนา</v>
          </cell>
          <cell r="G184" t="str">
            <v>ผ.ปก.D ปอ.</v>
          </cell>
        </row>
        <row r="185">
          <cell r="B185">
            <v>680054</v>
          </cell>
          <cell r="C185" t="str">
            <v>นาย</v>
          </cell>
          <cell r="E185" t="str">
            <v>ทนงศักดิ์</v>
          </cell>
          <cell r="F185" t="str">
            <v>บุญครั่ง</v>
          </cell>
          <cell r="G185" t="str">
            <v>ผ.ปก.D ปอ.</v>
          </cell>
        </row>
        <row r="186">
          <cell r="B186">
            <v>680065</v>
          </cell>
          <cell r="C186" t="str">
            <v>นาย</v>
          </cell>
          <cell r="E186" t="str">
            <v>ชยพล</v>
          </cell>
          <cell r="F186" t="str">
            <v>ไตรรัตนประทาน</v>
          </cell>
          <cell r="G186" t="str">
            <v>ผ.ปก.D ปอ.</v>
          </cell>
        </row>
        <row r="187">
          <cell r="B187">
            <v>350092</v>
          </cell>
          <cell r="C187" t="str">
            <v>นาย</v>
          </cell>
          <cell r="E187" t="str">
            <v>สมรส</v>
          </cell>
          <cell r="F187" t="str">
            <v>แก้วมงคล</v>
          </cell>
          <cell r="G187" t="str">
            <v>ยยก.</v>
          </cell>
        </row>
        <row r="188">
          <cell r="B188">
            <v>360090</v>
          </cell>
          <cell r="C188" t="str">
            <v>นาย</v>
          </cell>
          <cell r="E188" t="str">
            <v>สมบัติ</v>
          </cell>
          <cell r="F188" t="str">
            <v>ศรีเจริญการกิจ</v>
          </cell>
          <cell r="G188" t="str">
            <v>ยยก.</v>
          </cell>
        </row>
        <row r="189">
          <cell r="B189">
            <v>340098</v>
          </cell>
          <cell r="C189" t="str">
            <v>นาย</v>
          </cell>
          <cell r="E189" t="str">
            <v>โชคชัย</v>
          </cell>
          <cell r="F189" t="str">
            <v>เต๊ะขันหมาก</v>
          </cell>
          <cell r="G189" t="str">
            <v>ปต.ยยก.</v>
          </cell>
        </row>
        <row r="190">
          <cell r="B190">
            <v>360103</v>
          </cell>
          <cell r="C190" t="str">
            <v>นาย</v>
          </cell>
          <cell r="E190" t="str">
            <v>ธีระ</v>
          </cell>
          <cell r="F190" t="str">
            <v>สีกาลา</v>
          </cell>
          <cell r="G190" t="str">
            <v>คผ.A ปต.</v>
          </cell>
        </row>
        <row r="191">
          <cell r="B191">
            <v>360075</v>
          </cell>
          <cell r="C191" t="str">
            <v>นาย</v>
          </cell>
          <cell r="E191" t="str">
            <v>ธงชัย</v>
          </cell>
          <cell r="F191" t="str">
            <v>ช่างสากล</v>
          </cell>
          <cell r="G191" t="str">
            <v>คผ.A ปต.</v>
          </cell>
        </row>
        <row r="192">
          <cell r="B192">
            <v>480229</v>
          </cell>
          <cell r="C192" t="str">
            <v>นาย</v>
          </cell>
          <cell r="E192" t="str">
            <v>ดำรง</v>
          </cell>
          <cell r="F192" t="str">
            <v>ขวัญวารี</v>
          </cell>
          <cell r="G192" t="str">
            <v>คผ.A ปต.</v>
          </cell>
        </row>
        <row r="193">
          <cell r="B193">
            <v>480236</v>
          </cell>
          <cell r="C193" t="str">
            <v>นาย</v>
          </cell>
          <cell r="E193" t="str">
            <v>สุวิทย์</v>
          </cell>
          <cell r="F193" t="str">
            <v>อ่อนพิมพ์</v>
          </cell>
          <cell r="G193" t="str">
            <v>คผ.A ปต.</v>
          </cell>
        </row>
        <row r="194">
          <cell r="B194">
            <v>480237</v>
          </cell>
          <cell r="C194" t="str">
            <v>นาย</v>
          </cell>
          <cell r="E194" t="str">
            <v>กฤษณะ</v>
          </cell>
          <cell r="F194" t="str">
            <v>รักษาสุข</v>
          </cell>
          <cell r="G194" t="str">
            <v>คผ.A ปต.</v>
          </cell>
        </row>
        <row r="195">
          <cell r="B195">
            <v>560185</v>
          </cell>
          <cell r="C195" t="str">
            <v>นาย</v>
          </cell>
          <cell r="E195" t="str">
            <v>หนึ่ง</v>
          </cell>
          <cell r="F195" t="str">
            <v>เสือมัจฉา</v>
          </cell>
          <cell r="G195" t="str">
            <v>คผ.A ปต.</v>
          </cell>
        </row>
        <row r="196">
          <cell r="B196">
            <v>580098</v>
          </cell>
          <cell r="C196" t="str">
            <v>นาย</v>
          </cell>
          <cell r="E196" t="str">
            <v>วรพงค์</v>
          </cell>
          <cell r="F196" t="str">
            <v>ปวงคำ</v>
          </cell>
          <cell r="G196" t="str">
            <v>คผ.A ปต.</v>
          </cell>
        </row>
        <row r="197">
          <cell r="B197">
            <v>580296</v>
          </cell>
          <cell r="C197" t="str">
            <v>นาย</v>
          </cell>
          <cell r="E197" t="str">
            <v>นธี</v>
          </cell>
          <cell r="F197" t="str">
            <v>จุฑาธิปไตย</v>
          </cell>
          <cell r="G197" t="str">
            <v>คผ.A ปต.</v>
          </cell>
        </row>
        <row r="198">
          <cell r="B198">
            <v>360092</v>
          </cell>
          <cell r="C198" t="str">
            <v>นาย</v>
          </cell>
          <cell r="E198" t="str">
            <v>ปัญญา</v>
          </cell>
          <cell r="F198" t="str">
            <v>รินรักษา</v>
          </cell>
          <cell r="G198" t="str">
            <v>คผ.B ปต.</v>
          </cell>
        </row>
        <row r="199">
          <cell r="B199">
            <v>470100</v>
          </cell>
          <cell r="C199" t="str">
            <v>นาย</v>
          </cell>
          <cell r="E199" t="str">
            <v>กิตติชัย</v>
          </cell>
          <cell r="F199" t="str">
            <v>หงษ์ทอง</v>
          </cell>
          <cell r="G199" t="str">
            <v>คผ.B ปต.</v>
          </cell>
        </row>
        <row r="200">
          <cell r="B200">
            <v>480218</v>
          </cell>
          <cell r="C200" t="str">
            <v>นาย</v>
          </cell>
          <cell r="E200" t="str">
            <v>ภัทรวิทย์</v>
          </cell>
          <cell r="F200" t="str">
            <v>อุปถัมภ์</v>
          </cell>
          <cell r="G200" t="str">
            <v>คผ.B ปต.</v>
          </cell>
        </row>
        <row r="201">
          <cell r="B201">
            <v>490034</v>
          </cell>
          <cell r="C201" t="str">
            <v>นาย</v>
          </cell>
          <cell r="E201" t="str">
            <v>ธานี</v>
          </cell>
          <cell r="F201" t="str">
            <v>ปิ่นยกูล</v>
          </cell>
          <cell r="G201" t="str">
            <v>คผ.B ปต.</v>
          </cell>
        </row>
        <row r="202">
          <cell r="B202">
            <v>540071</v>
          </cell>
          <cell r="C202" t="str">
            <v>นาย</v>
          </cell>
          <cell r="E202" t="str">
            <v>จักร์พันธุ์</v>
          </cell>
          <cell r="F202" t="str">
            <v>บุญธรรม</v>
          </cell>
          <cell r="G202" t="str">
            <v>คผ.B ปต.</v>
          </cell>
        </row>
        <row r="203">
          <cell r="B203">
            <v>540201</v>
          </cell>
          <cell r="C203" t="str">
            <v>นาย</v>
          </cell>
          <cell r="E203" t="str">
            <v>ชินวัตร</v>
          </cell>
          <cell r="F203" t="str">
            <v>กังวาลสิงหนาท</v>
          </cell>
          <cell r="G203" t="str">
            <v>คผ.B ปต.</v>
          </cell>
        </row>
        <row r="204">
          <cell r="B204">
            <v>560118</v>
          </cell>
          <cell r="C204" t="str">
            <v>นาย</v>
          </cell>
          <cell r="E204" t="str">
            <v>ธีระศักดิ์</v>
          </cell>
          <cell r="F204" t="str">
            <v>จิตรตรง</v>
          </cell>
          <cell r="G204" t="str">
            <v>คผ.B ปต.</v>
          </cell>
        </row>
        <row r="205">
          <cell r="B205">
            <v>580285</v>
          </cell>
          <cell r="C205" t="str">
            <v>นาย</v>
          </cell>
          <cell r="E205" t="str">
            <v>บดินทร์</v>
          </cell>
          <cell r="F205" t="str">
            <v>ฆ้องนอก</v>
          </cell>
          <cell r="G205" t="str">
            <v>คผ.B ปต.</v>
          </cell>
        </row>
        <row r="206">
          <cell r="B206">
            <v>340109</v>
          </cell>
          <cell r="C206" t="str">
            <v>นาย</v>
          </cell>
          <cell r="E206" t="str">
            <v>รณชัย</v>
          </cell>
          <cell r="F206" t="str">
            <v>ยุทธสุขประเสริฐ</v>
          </cell>
          <cell r="G206" t="str">
            <v>คผ.C ปต.</v>
          </cell>
        </row>
        <row r="207">
          <cell r="B207">
            <v>470061</v>
          </cell>
          <cell r="C207" t="str">
            <v>นาย</v>
          </cell>
          <cell r="E207" t="str">
            <v>ภาณุพันธ์</v>
          </cell>
          <cell r="F207" t="str">
            <v>ออกช่อ</v>
          </cell>
          <cell r="G207" t="str">
            <v>คผ.C ปต.</v>
          </cell>
        </row>
        <row r="208">
          <cell r="B208">
            <v>480182</v>
          </cell>
          <cell r="C208" t="str">
            <v>นาย</v>
          </cell>
          <cell r="E208" t="str">
            <v>ธนกฤต</v>
          </cell>
          <cell r="F208" t="str">
            <v>จันทะศรี</v>
          </cell>
          <cell r="G208" t="str">
            <v>คผ.C ปต.</v>
          </cell>
        </row>
        <row r="209">
          <cell r="B209">
            <v>480191</v>
          </cell>
          <cell r="C209" t="str">
            <v>นาย</v>
          </cell>
          <cell r="E209" t="str">
            <v>เอนก</v>
          </cell>
          <cell r="F209" t="str">
            <v>อินแดน</v>
          </cell>
          <cell r="G209" t="str">
            <v>คผ.C ปต.</v>
          </cell>
        </row>
        <row r="210">
          <cell r="B210">
            <v>490040</v>
          </cell>
          <cell r="C210" t="str">
            <v>นาย</v>
          </cell>
          <cell r="E210" t="str">
            <v>อรรถพล</v>
          </cell>
          <cell r="F210" t="str">
            <v>พานิชนาวา</v>
          </cell>
          <cell r="G210" t="str">
            <v>คผ.C ปต.</v>
          </cell>
        </row>
        <row r="211">
          <cell r="B211">
            <v>560295</v>
          </cell>
          <cell r="C211" t="str">
            <v>นาย</v>
          </cell>
          <cell r="E211" t="str">
            <v>จีรภัทร์</v>
          </cell>
          <cell r="F211" t="str">
            <v>ชำนาญชล</v>
          </cell>
          <cell r="G211" t="str">
            <v>คผ.C ปต.</v>
          </cell>
        </row>
        <row r="212">
          <cell r="B212">
            <v>580297</v>
          </cell>
          <cell r="C212" t="str">
            <v>นาย</v>
          </cell>
          <cell r="E212" t="str">
            <v>วรรณวิวัฒน์</v>
          </cell>
          <cell r="F212" t="str">
            <v>สังข์เสือ</v>
          </cell>
          <cell r="G212" t="str">
            <v>คผ.C ปต.</v>
          </cell>
        </row>
        <row r="213">
          <cell r="B213">
            <v>680055</v>
          </cell>
          <cell r="C213" t="str">
            <v>นาย</v>
          </cell>
          <cell r="E213" t="str">
            <v>อิทธิกร</v>
          </cell>
          <cell r="F213" t="str">
            <v>กิจนีชี</v>
          </cell>
          <cell r="G213" t="str">
            <v>คผ.C ปต.</v>
          </cell>
        </row>
        <row r="214">
          <cell r="B214">
            <v>340128</v>
          </cell>
          <cell r="C214" t="str">
            <v>นาย</v>
          </cell>
          <cell r="E214" t="str">
            <v>ศิวพงษ์</v>
          </cell>
          <cell r="F214" t="str">
            <v>บุญเนาว์</v>
          </cell>
          <cell r="G214" t="str">
            <v>คผ.D ปต.</v>
          </cell>
        </row>
        <row r="215">
          <cell r="B215">
            <v>470099</v>
          </cell>
          <cell r="C215" t="str">
            <v>นาย</v>
          </cell>
          <cell r="E215" t="str">
            <v>ไพแก้ว</v>
          </cell>
          <cell r="F215" t="str">
            <v>เล็กน้อย</v>
          </cell>
          <cell r="G215" t="str">
            <v>คผ.D ปต.</v>
          </cell>
        </row>
        <row r="216">
          <cell r="B216">
            <v>480243</v>
          </cell>
          <cell r="C216" t="str">
            <v>นาย</v>
          </cell>
          <cell r="E216" t="str">
            <v>นพรัตน์</v>
          </cell>
          <cell r="F216" t="str">
            <v>พวงแก้ว</v>
          </cell>
          <cell r="G216" t="str">
            <v>คผ.D ปต.</v>
          </cell>
        </row>
        <row r="217">
          <cell r="B217">
            <v>480216</v>
          </cell>
          <cell r="C217" t="str">
            <v>นาย</v>
          </cell>
          <cell r="E217" t="str">
            <v>วิทูร</v>
          </cell>
          <cell r="F217" t="str">
            <v>วิงกระโทก</v>
          </cell>
          <cell r="G217" t="str">
            <v>คผ.D ปต.</v>
          </cell>
        </row>
        <row r="218">
          <cell r="B218">
            <v>490032</v>
          </cell>
          <cell r="C218" t="str">
            <v>นาย</v>
          </cell>
          <cell r="E218" t="str">
            <v>ธีระวัฒน์</v>
          </cell>
          <cell r="F218" t="str">
            <v>ตุ่มแก้ว</v>
          </cell>
          <cell r="G218" t="str">
            <v>คผ.D ปต.</v>
          </cell>
        </row>
        <row r="219">
          <cell r="B219">
            <v>580299</v>
          </cell>
          <cell r="C219" t="str">
            <v>นาย</v>
          </cell>
          <cell r="E219" t="str">
            <v>อัครพล</v>
          </cell>
          <cell r="F219" t="str">
            <v>อรัณยะนาค</v>
          </cell>
          <cell r="G219" t="str">
            <v>คผ.D ปต.</v>
          </cell>
        </row>
        <row r="220">
          <cell r="B220">
            <v>580298</v>
          </cell>
          <cell r="C220" t="str">
            <v>นาย</v>
          </cell>
          <cell r="E220" t="str">
            <v>ณัฐพงศ์</v>
          </cell>
          <cell r="F220" t="str">
            <v>แก้วทับทิม</v>
          </cell>
          <cell r="G220" t="str">
            <v>คผ.D ปต.</v>
          </cell>
        </row>
        <row r="221">
          <cell r="B221">
            <v>600089</v>
          </cell>
          <cell r="C221" t="str">
            <v>นาย</v>
          </cell>
          <cell r="E221" t="str">
            <v>วิทวัส</v>
          </cell>
          <cell r="F221" t="str">
            <v>วงศ์อร่ามวิไล</v>
          </cell>
          <cell r="G221" t="str">
            <v>คผ.D ปต.</v>
          </cell>
        </row>
        <row r="222">
          <cell r="B222">
            <v>340108</v>
          </cell>
          <cell r="C222" t="str">
            <v>นาย</v>
          </cell>
          <cell r="E222" t="str">
            <v>อำนาจ</v>
          </cell>
          <cell r="F222" t="str">
            <v>ด้วงจุ้ย</v>
          </cell>
          <cell r="G222" t="str">
            <v>ปล.ยยก.</v>
          </cell>
        </row>
        <row r="223">
          <cell r="B223">
            <v>330136</v>
          </cell>
          <cell r="C223" t="str">
            <v>นาย</v>
          </cell>
          <cell r="E223" t="str">
            <v>ณัฐพัชร์</v>
          </cell>
          <cell r="F223" t="str">
            <v>เขียวเหมือน</v>
          </cell>
          <cell r="G223" t="str">
            <v>คผ.A ปล.</v>
          </cell>
        </row>
        <row r="224">
          <cell r="B224">
            <v>480242</v>
          </cell>
          <cell r="C224" t="str">
            <v>นาย</v>
          </cell>
          <cell r="E224" t="str">
            <v>ธงชัย</v>
          </cell>
          <cell r="F224" t="str">
            <v>รอดนางรอง</v>
          </cell>
          <cell r="G224" t="str">
            <v>คผ.A ปล.</v>
          </cell>
        </row>
        <row r="225">
          <cell r="B225">
            <v>480187</v>
          </cell>
          <cell r="C225" t="str">
            <v>นาย</v>
          </cell>
          <cell r="E225" t="str">
            <v>สัญญา</v>
          </cell>
          <cell r="F225" t="str">
            <v>ฤกษ์ดำเนินกิจ</v>
          </cell>
          <cell r="G225" t="str">
            <v>คผ.A ปล.</v>
          </cell>
        </row>
        <row r="226">
          <cell r="B226">
            <v>490039</v>
          </cell>
          <cell r="C226" t="str">
            <v>นาย</v>
          </cell>
          <cell r="E226" t="str">
            <v>พีระยุทธ</v>
          </cell>
          <cell r="F226" t="str">
            <v>กิจนพเก้า</v>
          </cell>
          <cell r="G226" t="str">
            <v>คผ.A ปล.</v>
          </cell>
        </row>
        <row r="227">
          <cell r="B227">
            <v>550202</v>
          </cell>
          <cell r="C227" t="str">
            <v>นาย</v>
          </cell>
          <cell r="E227" t="str">
            <v>วิศรุต</v>
          </cell>
          <cell r="F227" t="str">
            <v>ชูวาลา</v>
          </cell>
          <cell r="G227" t="str">
            <v>คผ.A ปล.</v>
          </cell>
        </row>
        <row r="228">
          <cell r="B228">
            <v>550203</v>
          </cell>
          <cell r="C228" t="str">
            <v>นาย</v>
          </cell>
          <cell r="E228" t="str">
            <v>กวินท์วิชญ์</v>
          </cell>
          <cell r="F228" t="str">
            <v>ชื่นวิเศษ</v>
          </cell>
          <cell r="G228" t="str">
            <v>คผ.A ปล.</v>
          </cell>
        </row>
        <row r="229">
          <cell r="B229">
            <v>560067</v>
          </cell>
          <cell r="C229" t="str">
            <v>นาย</v>
          </cell>
          <cell r="E229" t="str">
            <v>พิชัยกานต์</v>
          </cell>
          <cell r="F229" t="str">
            <v>ห้วยหงษ์ทอง</v>
          </cell>
          <cell r="G229" t="str">
            <v>คผ.A ปล.</v>
          </cell>
        </row>
        <row r="230">
          <cell r="B230">
            <v>590062</v>
          </cell>
          <cell r="C230" t="str">
            <v>นาย</v>
          </cell>
          <cell r="E230" t="str">
            <v>ณัฐพล</v>
          </cell>
          <cell r="F230" t="str">
            <v>นุระธนะ</v>
          </cell>
          <cell r="G230" t="str">
            <v>คผ.A ปล.</v>
          </cell>
        </row>
        <row r="231">
          <cell r="B231">
            <v>570031</v>
          </cell>
          <cell r="C231" t="str">
            <v>นาย</v>
          </cell>
          <cell r="E231" t="str">
            <v>สุเมธ</v>
          </cell>
          <cell r="F231" t="str">
            <v>ชาญสมร</v>
          </cell>
          <cell r="G231" t="str">
            <v>คผ.A ปล.</v>
          </cell>
        </row>
        <row r="232">
          <cell r="B232">
            <v>610204</v>
          </cell>
          <cell r="C232" t="str">
            <v>นาย</v>
          </cell>
          <cell r="D232" t="str">
            <v>ว่าที่ ร.ต.</v>
          </cell>
          <cell r="E232" t="str">
            <v>ยุทธนา</v>
          </cell>
          <cell r="F232" t="str">
            <v>มัทเรศ</v>
          </cell>
          <cell r="G232" t="str">
            <v>คผ.A ปล.</v>
          </cell>
        </row>
        <row r="233">
          <cell r="B233">
            <v>360097</v>
          </cell>
          <cell r="C233" t="str">
            <v>นาย</v>
          </cell>
          <cell r="E233" t="str">
            <v>สานนท์</v>
          </cell>
          <cell r="F233" t="str">
            <v>พุฒแก้ว</v>
          </cell>
          <cell r="G233" t="str">
            <v>คผ.B ปล.</v>
          </cell>
        </row>
        <row r="234">
          <cell r="B234">
            <v>350068</v>
          </cell>
          <cell r="C234" t="str">
            <v>นาย</v>
          </cell>
          <cell r="E234" t="str">
            <v>กิตติพงษ์</v>
          </cell>
          <cell r="F234" t="str">
            <v>อินพหล</v>
          </cell>
          <cell r="G234" t="str">
            <v>คผ.B ปล.</v>
          </cell>
        </row>
        <row r="235">
          <cell r="B235">
            <v>490036</v>
          </cell>
          <cell r="C235" t="str">
            <v>นาย</v>
          </cell>
          <cell r="E235" t="str">
            <v>อนุกูล</v>
          </cell>
          <cell r="F235" t="str">
            <v>คงพ่วง</v>
          </cell>
          <cell r="G235" t="str">
            <v>คผ.B ปล.</v>
          </cell>
        </row>
        <row r="236">
          <cell r="B236">
            <v>470062</v>
          </cell>
          <cell r="C236" t="str">
            <v>นาย</v>
          </cell>
          <cell r="E236" t="str">
            <v>บวรกฤษฏิ์</v>
          </cell>
          <cell r="F236" t="str">
            <v>ฉากพิมายทวีกุล</v>
          </cell>
          <cell r="G236" t="str">
            <v>คผ.B ปล.</v>
          </cell>
        </row>
        <row r="237">
          <cell r="B237">
            <v>490071</v>
          </cell>
          <cell r="C237" t="str">
            <v>นาย</v>
          </cell>
          <cell r="E237" t="str">
            <v>ธีระวิทย์</v>
          </cell>
          <cell r="F237" t="str">
            <v>โควงค์</v>
          </cell>
          <cell r="G237" t="str">
            <v>คผ.B ปล.</v>
          </cell>
        </row>
        <row r="238">
          <cell r="B238">
            <v>550212</v>
          </cell>
          <cell r="C238" t="str">
            <v>นาย</v>
          </cell>
          <cell r="E238" t="str">
            <v>พิสุทธิ์</v>
          </cell>
          <cell r="F238" t="str">
            <v>นิลพาณิชย์</v>
          </cell>
          <cell r="G238" t="str">
            <v>คผ.B ปล.</v>
          </cell>
        </row>
        <row r="239">
          <cell r="B239">
            <v>560119</v>
          </cell>
          <cell r="C239" t="str">
            <v>นาย</v>
          </cell>
          <cell r="D239" t="str">
            <v>ว่าที่ ร.ท.</v>
          </cell>
          <cell r="E239" t="str">
            <v>ดุลยวัต</v>
          </cell>
          <cell r="F239" t="str">
            <v>เกตุรัตน์</v>
          </cell>
          <cell r="G239" t="str">
            <v>คผ.B ปล.</v>
          </cell>
        </row>
        <row r="240">
          <cell r="B240">
            <v>490041</v>
          </cell>
          <cell r="C240" t="str">
            <v>นาย</v>
          </cell>
          <cell r="E240" t="str">
            <v>ขจร</v>
          </cell>
          <cell r="F240" t="str">
            <v>นุชทรัพย์</v>
          </cell>
          <cell r="G240" t="str">
            <v>คผ.B ปล.</v>
          </cell>
        </row>
        <row r="241">
          <cell r="B241">
            <v>490052</v>
          </cell>
          <cell r="C241" t="str">
            <v>นาย</v>
          </cell>
          <cell r="E241" t="str">
            <v>ชานนท์</v>
          </cell>
          <cell r="F241" t="str">
            <v>บุญยิ่งเหลือ</v>
          </cell>
          <cell r="G241" t="str">
            <v>คผ.B ปล.</v>
          </cell>
        </row>
        <row r="242">
          <cell r="B242">
            <v>550213</v>
          </cell>
          <cell r="C242" t="str">
            <v>นาย</v>
          </cell>
          <cell r="E242" t="str">
            <v>สุภมาณพ</v>
          </cell>
          <cell r="F242" t="str">
            <v>จันดีวงษ์</v>
          </cell>
          <cell r="G242" t="str">
            <v>คผ.B ปล.</v>
          </cell>
        </row>
        <row r="243">
          <cell r="B243">
            <v>350077</v>
          </cell>
          <cell r="C243" t="str">
            <v>นาย</v>
          </cell>
          <cell r="E243" t="str">
            <v>เทิด</v>
          </cell>
          <cell r="F243" t="str">
            <v>ลำภา</v>
          </cell>
          <cell r="G243" t="str">
            <v>คผ.C ปล.</v>
          </cell>
        </row>
        <row r="244">
          <cell r="B244">
            <v>490132</v>
          </cell>
          <cell r="C244" t="str">
            <v>นาย</v>
          </cell>
          <cell r="E244" t="str">
            <v>กัญภิภัทร</v>
          </cell>
          <cell r="F244" t="str">
            <v>สมการ</v>
          </cell>
          <cell r="G244" t="str">
            <v>คผ.C ปล.</v>
          </cell>
        </row>
        <row r="245">
          <cell r="B245">
            <v>480190</v>
          </cell>
          <cell r="C245" t="str">
            <v>นาย</v>
          </cell>
          <cell r="E245" t="str">
            <v>อนิรุธ</v>
          </cell>
          <cell r="F245" t="str">
            <v>คงตาล</v>
          </cell>
          <cell r="G245" t="str">
            <v>คผ.C ปล.</v>
          </cell>
        </row>
        <row r="246">
          <cell r="B246">
            <v>490053</v>
          </cell>
          <cell r="C246" t="str">
            <v>นาย</v>
          </cell>
          <cell r="E246" t="str">
            <v>ผดุงเดช</v>
          </cell>
          <cell r="F246" t="str">
            <v>สุขสุวรรณ</v>
          </cell>
          <cell r="G246" t="str">
            <v>คผ.C ปล.</v>
          </cell>
        </row>
        <row r="247">
          <cell r="B247">
            <v>550206</v>
          </cell>
          <cell r="C247" t="str">
            <v>นาย</v>
          </cell>
          <cell r="E247" t="str">
            <v>สุรัฐพงศ์</v>
          </cell>
          <cell r="F247" t="str">
            <v>สืบสุข</v>
          </cell>
          <cell r="G247" t="str">
            <v>คผ.C ปล.</v>
          </cell>
        </row>
        <row r="248">
          <cell r="B248">
            <v>550211</v>
          </cell>
          <cell r="C248" t="str">
            <v>นาย</v>
          </cell>
          <cell r="E248" t="str">
            <v>ประวิทย์</v>
          </cell>
          <cell r="F248" t="str">
            <v>สวัสดิ์มาก</v>
          </cell>
          <cell r="G248" t="str">
            <v>คผ.C ปล.</v>
          </cell>
        </row>
        <row r="249">
          <cell r="B249">
            <v>570174</v>
          </cell>
          <cell r="C249" t="str">
            <v>นาย</v>
          </cell>
          <cell r="E249" t="str">
            <v>พลากร</v>
          </cell>
          <cell r="F249" t="str">
            <v>พุทธชาติ</v>
          </cell>
          <cell r="G249" t="str">
            <v>คผ.C ปล.</v>
          </cell>
        </row>
        <row r="250">
          <cell r="B250">
            <v>590021</v>
          </cell>
          <cell r="C250" t="str">
            <v>นาย</v>
          </cell>
          <cell r="E250" t="str">
            <v>วสันต์</v>
          </cell>
          <cell r="F250" t="str">
            <v>ว่องวิกาล</v>
          </cell>
          <cell r="G250" t="str">
            <v>คผ.C ปล.</v>
          </cell>
        </row>
        <row r="251">
          <cell r="B251">
            <v>600133</v>
          </cell>
          <cell r="C251" t="str">
            <v>นาย</v>
          </cell>
          <cell r="E251" t="str">
            <v>ทัศน์พล</v>
          </cell>
          <cell r="F251" t="str">
            <v>ปฏิบัติธรรม</v>
          </cell>
          <cell r="G251" t="str">
            <v>คผ.C ปล.</v>
          </cell>
        </row>
        <row r="252">
          <cell r="B252">
            <v>680053</v>
          </cell>
          <cell r="C252" t="str">
            <v>นาย</v>
          </cell>
          <cell r="E252" t="str">
            <v>อรุณศักดิ์</v>
          </cell>
          <cell r="F252" t="str">
            <v>ราชา</v>
          </cell>
          <cell r="G252" t="str">
            <v>คผ.C ปล.</v>
          </cell>
        </row>
        <row r="253">
          <cell r="B253">
            <v>340011</v>
          </cell>
          <cell r="C253" t="str">
            <v>นาย</v>
          </cell>
          <cell r="E253" t="str">
            <v>ลิขิต</v>
          </cell>
          <cell r="F253" t="str">
            <v>ยอดเสน่หา</v>
          </cell>
          <cell r="G253" t="str">
            <v>คผ.D ปล.</v>
          </cell>
        </row>
        <row r="254">
          <cell r="B254">
            <v>340008</v>
          </cell>
          <cell r="C254" t="str">
            <v>นาย</v>
          </cell>
          <cell r="E254" t="str">
            <v>ณฐกร</v>
          </cell>
          <cell r="F254" t="str">
            <v>เกตุสกุล</v>
          </cell>
          <cell r="G254" t="str">
            <v>คผ.D ปล.</v>
          </cell>
        </row>
        <row r="255">
          <cell r="B255">
            <v>480222</v>
          </cell>
          <cell r="C255" t="str">
            <v>นาย</v>
          </cell>
          <cell r="E255" t="str">
            <v>วิวัฒน์</v>
          </cell>
          <cell r="F255" t="str">
            <v>จบศรี</v>
          </cell>
          <cell r="G255" t="str">
            <v>คผ.D ปล.</v>
          </cell>
        </row>
        <row r="256">
          <cell r="B256">
            <v>480219</v>
          </cell>
          <cell r="C256" t="str">
            <v>นาย</v>
          </cell>
          <cell r="E256" t="str">
            <v>อรรถพล</v>
          </cell>
          <cell r="F256" t="str">
            <v>พลสวัสดิ์</v>
          </cell>
          <cell r="G256" t="str">
            <v>คผ.D ปล.</v>
          </cell>
        </row>
        <row r="257">
          <cell r="B257">
            <v>550204</v>
          </cell>
          <cell r="C257" t="str">
            <v>นาย</v>
          </cell>
          <cell r="E257" t="str">
            <v>วุฒินันท์</v>
          </cell>
          <cell r="F257" t="str">
            <v>วัชโรทยาน</v>
          </cell>
          <cell r="G257" t="str">
            <v>คผ.D ปล.</v>
          </cell>
        </row>
        <row r="258">
          <cell r="B258">
            <v>480163</v>
          </cell>
          <cell r="C258" t="str">
            <v>นาย</v>
          </cell>
          <cell r="E258" t="str">
            <v>สมยศ</v>
          </cell>
          <cell r="F258" t="str">
            <v>เทียนชัย</v>
          </cell>
          <cell r="G258" t="str">
            <v>คผ.D ปล.</v>
          </cell>
        </row>
        <row r="259">
          <cell r="B259">
            <v>530013</v>
          </cell>
          <cell r="C259" t="str">
            <v>นาย</v>
          </cell>
          <cell r="E259" t="str">
            <v>นันทศักดิ์</v>
          </cell>
          <cell r="F259" t="str">
            <v>โซ๊ะมิน</v>
          </cell>
          <cell r="G259" t="str">
            <v>คผ.D ปล.</v>
          </cell>
        </row>
        <row r="260">
          <cell r="B260">
            <v>550205</v>
          </cell>
          <cell r="C260" t="str">
            <v>นาย</v>
          </cell>
          <cell r="E260" t="str">
            <v>พิชิตชัย</v>
          </cell>
          <cell r="F260" t="str">
            <v>นิ่มนวล</v>
          </cell>
          <cell r="G260" t="str">
            <v>คผ.D ปล.</v>
          </cell>
        </row>
        <row r="261">
          <cell r="B261">
            <v>640082</v>
          </cell>
          <cell r="C261" t="str">
            <v>นาย</v>
          </cell>
          <cell r="E261" t="str">
            <v>มาโนช</v>
          </cell>
          <cell r="F261" t="str">
            <v>ประดับเพ็ชร</v>
          </cell>
          <cell r="G261" t="str">
            <v>คผ.D ปล.</v>
          </cell>
        </row>
        <row r="262">
          <cell r="B262">
            <v>670128</v>
          </cell>
          <cell r="C262" t="str">
            <v>นาย</v>
          </cell>
          <cell r="E262" t="str">
            <v>ณรงเดช</v>
          </cell>
          <cell r="F262" t="str">
            <v>มานพ</v>
          </cell>
          <cell r="G262" t="str">
            <v>คผ.D ปล.</v>
          </cell>
        </row>
        <row r="263">
          <cell r="B263">
            <v>490015</v>
          </cell>
          <cell r="C263" t="str">
            <v>นาย</v>
          </cell>
          <cell r="E263" t="str">
            <v>กลศ</v>
          </cell>
          <cell r="F263" t="str">
            <v>บุณยะวรรธนะ</v>
          </cell>
          <cell r="G263" t="str">
            <v>ยขก.</v>
          </cell>
        </row>
        <row r="264">
          <cell r="B264">
            <v>490230</v>
          </cell>
          <cell r="C264" t="str">
            <v>นาย</v>
          </cell>
          <cell r="E264" t="str">
            <v>ณัฐพงศ์</v>
          </cell>
          <cell r="F264" t="str">
            <v>รู้ซื่อ</v>
          </cell>
          <cell r="G264" t="str">
            <v>ปน.ยขก.</v>
          </cell>
        </row>
        <row r="265">
          <cell r="B265">
            <v>390030</v>
          </cell>
          <cell r="C265" t="str">
            <v>นาย</v>
          </cell>
          <cell r="E265" t="str">
            <v>ทศพร</v>
          </cell>
          <cell r="F265" t="str">
            <v>ดวงรัตน์</v>
          </cell>
          <cell r="G265" t="str">
            <v>ปน.ยขก.</v>
          </cell>
        </row>
        <row r="266">
          <cell r="B266">
            <v>480024</v>
          </cell>
          <cell r="C266" t="str">
            <v>นาย</v>
          </cell>
          <cell r="E266" t="str">
            <v>จิรายุ</v>
          </cell>
          <cell r="F266" t="str">
            <v>จันทองแก้ว</v>
          </cell>
          <cell r="G266" t="str">
            <v>ปน.ยขก.</v>
          </cell>
        </row>
        <row r="267">
          <cell r="B267">
            <v>630001</v>
          </cell>
          <cell r="C267" t="str">
            <v>นาย</v>
          </cell>
          <cell r="E267" t="str">
            <v>คมชาญ</v>
          </cell>
          <cell r="F267" t="str">
            <v>สุวรรณโณ</v>
          </cell>
          <cell r="G267" t="str">
            <v>ปน.ยขก.</v>
          </cell>
        </row>
        <row r="268">
          <cell r="B268">
            <v>350061</v>
          </cell>
          <cell r="C268" t="str">
            <v>นาย</v>
          </cell>
          <cell r="E268" t="str">
            <v>แฝง</v>
          </cell>
          <cell r="F268" t="str">
            <v>คนคง</v>
          </cell>
          <cell r="G268" t="str">
            <v>ปน.ยขก.</v>
          </cell>
        </row>
        <row r="269">
          <cell r="B269">
            <v>660088</v>
          </cell>
          <cell r="C269" t="str">
            <v>น.ส.</v>
          </cell>
          <cell r="E269" t="str">
            <v>นลินรัตน์</v>
          </cell>
          <cell r="F269" t="str">
            <v>นามกระโทก</v>
          </cell>
          <cell r="G269" t="str">
            <v>ปน.ยขก.</v>
          </cell>
        </row>
        <row r="270">
          <cell r="B270">
            <v>680017</v>
          </cell>
          <cell r="C270" t="str">
            <v>น.ส.</v>
          </cell>
          <cell r="E270" t="str">
            <v>ภัทรดา</v>
          </cell>
          <cell r="F270" t="str">
            <v>ประภาศิลป์</v>
          </cell>
          <cell r="G270" t="str">
            <v>ปน.ยขก.</v>
          </cell>
        </row>
        <row r="271">
          <cell r="B271">
            <v>350071</v>
          </cell>
          <cell r="C271" t="str">
            <v>นาย</v>
          </cell>
          <cell r="E271" t="str">
            <v>คณิต</v>
          </cell>
          <cell r="F271" t="str">
            <v>ภัทรคุปต์</v>
          </cell>
          <cell r="G271" t="str">
            <v>ปข.ยขก.</v>
          </cell>
        </row>
        <row r="272">
          <cell r="B272">
            <v>360115</v>
          </cell>
          <cell r="C272" t="str">
            <v>นาย</v>
          </cell>
          <cell r="E272" t="str">
            <v>จตุรงค์</v>
          </cell>
          <cell r="F272" t="str">
            <v>สมมุ่ง</v>
          </cell>
          <cell r="G272" t="str">
            <v>ผ.คผ.A ปข.</v>
          </cell>
        </row>
        <row r="273">
          <cell r="B273">
            <v>400234</v>
          </cell>
          <cell r="C273" t="str">
            <v>นาย</v>
          </cell>
          <cell r="E273" t="str">
            <v>เจริญ</v>
          </cell>
          <cell r="F273" t="str">
            <v>บัวทอง</v>
          </cell>
          <cell r="G273" t="str">
            <v>ผ.คผ.A ปข.</v>
          </cell>
        </row>
        <row r="274">
          <cell r="B274">
            <v>400146</v>
          </cell>
          <cell r="C274" t="str">
            <v>นาย</v>
          </cell>
          <cell r="E274" t="str">
            <v>เนตร</v>
          </cell>
          <cell r="F274" t="str">
            <v>จันทร์แจ่ม</v>
          </cell>
          <cell r="G274" t="str">
            <v>ผ.คผ.A ปข.</v>
          </cell>
        </row>
        <row r="275">
          <cell r="B275">
            <v>480153</v>
          </cell>
          <cell r="C275" t="str">
            <v>นาย</v>
          </cell>
          <cell r="E275" t="str">
            <v>ณรงค์ศักดิ์</v>
          </cell>
          <cell r="F275" t="str">
            <v>พาชารี</v>
          </cell>
          <cell r="G275" t="str">
            <v>ผ.คผ.A ปข.</v>
          </cell>
        </row>
        <row r="276">
          <cell r="B276">
            <v>500188</v>
          </cell>
          <cell r="C276" t="str">
            <v>นาย</v>
          </cell>
          <cell r="E276" t="str">
            <v>ธวัช</v>
          </cell>
          <cell r="F276" t="str">
            <v>เกี่ยวคก</v>
          </cell>
          <cell r="G276" t="str">
            <v>ผ.คผ.A ปข.</v>
          </cell>
        </row>
        <row r="277">
          <cell r="B277">
            <v>340161</v>
          </cell>
          <cell r="C277" t="str">
            <v>นาย</v>
          </cell>
          <cell r="E277" t="str">
            <v>สุชาติ</v>
          </cell>
          <cell r="F277" t="str">
            <v>เพ็งหนู</v>
          </cell>
          <cell r="G277" t="str">
            <v>ผ.คผ.B ปข.</v>
          </cell>
        </row>
        <row r="278">
          <cell r="B278">
            <v>390037</v>
          </cell>
          <cell r="C278" t="str">
            <v>นาย</v>
          </cell>
          <cell r="E278" t="str">
            <v>ไพโรจน์</v>
          </cell>
          <cell r="F278" t="str">
            <v>อัมพุกานน</v>
          </cell>
          <cell r="G278" t="str">
            <v>ผ.คผ.B ปข.</v>
          </cell>
        </row>
        <row r="279">
          <cell r="B279">
            <v>390029</v>
          </cell>
          <cell r="C279" t="str">
            <v>นาย</v>
          </cell>
          <cell r="E279" t="str">
            <v>ธนัช</v>
          </cell>
          <cell r="F279" t="str">
            <v>สังขวัลลิ์</v>
          </cell>
          <cell r="G279" t="str">
            <v>ผ.คผ.B ปข.</v>
          </cell>
        </row>
        <row r="280">
          <cell r="B280">
            <v>390032</v>
          </cell>
          <cell r="C280" t="str">
            <v>นาย</v>
          </cell>
          <cell r="E280" t="str">
            <v>ประดุงวิทย์</v>
          </cell>
          <cell r="F280" t="str">
            <v>ปานทอง</v>
          </cell>
          <cell r="G280" t="str">
            <v>ผ.คผ.B ปข.</v>
          </cell>
        </row>
        <row r="281">
          <cell r="B281">
            <v>510167</v>
          </cell>
          <cell r="C281" t="str">
            <v>นาย</v>
          </cell>
          <cell r="E281" t="str">
            <v>นิวัฒน์</v>
          </cell>
          <cell r="F281" t="str">
            <v>ภักดีชน</v>
          </cell>
          <cell r="G281" t="str">
            <v>ผ.คผ.B ปข.</v>
          </cell>
        </row>
        <row r="282">
          <cell r="B282">
            <v>350088</v>
          </cell>
          <cell r="C282" t="str">
            <v>นาย</v>
          </cell>
          <cell r="E282" t="str">
            <v>ทรงกลด</v>
          </cell>
          <cell r="F282" t="str">
            <v>กันตังกุล</v>
          </cell>
          <cell r="G282" t="str">
            <v>ผ.คผ.C ปข.</v>
          </cell>
        </row>
        <row r="283">
          <cell r="B283">
            <v>390035</v>
          </cell>
          <cell r="C283" t="str">
            <v>นาย</v>
          </cell>
          <cell r="E283" t="str">
            <v>สมบัติ</v>
          </cell>
          <cell r="F283" t="str">
            <v>ทั่งทอง</v>
          </cell>
          <cell r="G283" t="str">
            <v>ผ.คผ.C ปข.</v>
          </cell>
        </row>
        <row r="284">
          <cell r="B284">
            <v>570122</v>
          </cell>
          <cell r="C284" t="str">
            <v>นาย</v>
          </cell>
          <cell r="E284" t="str">
            <v>ณัฐวุฒิ</v>
          </cell>
          <cell r="F284" t="str">
            <v>กาลาศรี</v>
          </cell>
          <cell r="G284" t="str">
            <v>ผ.คผ.C ปข.</v>
          </cell>
        </row>
        <row r="285">
          <cell r="B285">
            <v>580171</v>
          </cell>
          <cell r="C285" t="str">
            <v>นาย</v>
          </cell>
          <cell r="E285" t="str">
            <v>ศรัณย์</v>
          </cell>
          <cell r="F285" t="str">
            <v>มาหะหมะ</v>
          </cell>
          <cell r="G285" t="str">
            <v>ผ.คผ.C ปข.</v>
          </cell>
        </row>
        <row r="286">
          <cell r="B286">
            <v>480178</v>
          </cell>
          <cell r="C286" t="str">
            <v>นาย</v>
          </cell>
          <cell r="E286" t="str">
            <v>สุรพล</v>
          </cell>
          <cell r="F286" t="str">
            <v>ขุนอักษร</v>
          </cell>
          <cell r="G286" t="str">
            <v>ผ.คผ.C ปข.</v>
          </cell>
        </row>
        <row r="287">
          <cell r="B287">
            <v>350079</v>
          </cell>
          <cell r="C287" t="str">
            <v>นาย</v>
          </cell>
          <cell r="E287" t="str">
            <v>วันชัย</v>
          </cell>
          <cell r="F287" t="str">
            <v>ช่างสากล</v>
          </cell>
          <cell r="G287" t="str">
            <v>ผ.คผ.D ปข.</v>
          </cell>
        </row>
        <row r="288">
          <cell r="B288">
            <v>470052</v>
          </cell>
          <cell r="C288" t="str">
            <v>นาย</v>
          </cell>
          <cell r="E288" t="str">
            <v>รักชาติ</v>
          </cell>
          <cell r="F288" t="str">
            <v>เนียมสลุด</v>
          </cell>
          <cell r="G288" t="str">
            <v>ผ.คผ.D ปข.</v>
          </cell>
        </row>
        <row r="289">
          <cell r="B289">
            <v>340099</v>
          </cell>
          <cell r="C289" t="str">
            <v>นาย</v>
          </cell>
          <cell r="E289" t="str">
            <v>พงศ์สิทธิ์</v>
          </cell>
          <cell r="F289" t="str">
            <v>ดำรักษ์</v>
          </cell>
          <cell r="G289" t="str">
            <v>ผ.คผ.D ปข.</v>
          </cell>
        </row>
        <row r="290">
          <cell r="B290">
            <v>400147</v>
          </cell>
          <cell r="C290" t="str">
            <v>นาย</v>
          </cell>
          <cell r="E290" t="str">
            <v>วิชัย</v>
          </cell>
          <cell r="F290" t="str">
            <v>ช่วยเหลือ</v>
          </cell>
          <cell r="G290" t="str">
            <v>ผ.คผ.D ปข.</v>
          </cell>
        </row>
        <row r="291">
          <cell r="B291">
            <v>510095</v>
          </cell>
          <cell r="C291" t="str">
            <v>นาย</v>
          </cell>
          <cell r="E291" t="str">
            <v>ชัยวัฒน์</v>
          </cell>
          <cell r="F291" t="str">
            <v>แหลมไพศาล</v>
          </cell>
          <cell r="G291" t="str">
            <v>ผ.คผ.D ปข.</v>
          </cell>
        </row>
        <row r="292">
          <cell r="B292">
            <v>540123</v>
          </cell>
          <cell r="C292" t="str">
            <v>น.ส.</v>
          </cell>
          <cell r="E292" t="str">
            <v>ชนกวรรณ</v>
          </cell>
          <cell r="F292" t="str">
            <v>เรืองศรี</v>
          </cell>
          <cell r="G292" t="str">
            <v>ผ.รจ. ปข.</v>
          </cell>
        </row>
        <row r="293">
          <cell r="B293">
            <v>420038</v>
          </cell>
          <cell r="C293" t="str">
            <v>นาย</v>
          </cell>
          <cell r="E293" t="str">
            <v>สารศิลป์</v>
          </cell>
          <cell r="F293" t="str">
            <v>พิมสาร</v>
          </cell>
          <cell r="G293" t="str">
            <v>วบ.ยขก.</v>
          </cell>
        </row>
        <row r="294">
          <cell r="B294">
            <v>490259</v>
          </cell>
          <cell r="C294" t="str">
            <v>นาย</v>
          </cell>
          <cell r="E294" t="str">
            <v>เจษฎา</v>
          </cell>
          <cell r="F294" t="str">
            <v>ชนะทัพ</v>
          </cell>
          <cell r="G294" t="str">
            <v>ผ.ฟค.วบ.</v>
          </cell>
        </row>
        <row r="295">
          <cell r="B295">
            <v>480164</v>
          </cell>
          <cell r="C295" t="str">
            <v>นาย</v>
          </cell>
          <cell r="E295" t="str">
            <v>อุกฤษฎ์</v>
          </cell>
          <cell r="F295" t="str">
            <v>พัฒสุข</v>
          </cell>
          <cell r="G295" t="str">
            <v>ผ.ฟค.วบ.</v>
          </cell>
        </row>
        <row r="296">
          <cell r="B296">
            <v>560145</v>
          </cell>
          <cell r="C296" t="str">
            <v>นาย</v>
          </cell>
          <cell r="E296" t="str">
            <v>อรุณโรจน์</v>
          </cell>
          <cell r="F296" t="str">
            <v>ทองโอ</v>
          </cell>
          <cell r="G296" t="str">
            <v>ผ.ฟค.วบ.</v>
          </cell>
        </row>
        <row r="297">
          <cell r="B297">
            <v>570100</v>
          </cell>
          <cell r="C297" t="str">
            <v>นาย</v>
          </cell>
          <cell r="E297" t="str">
            <v>นฤเบศร์</v>
          </cell>
          <cell r="F297" t="str">
            <v>รัตนฤทธิ์</v>
          </cell>
          <cell r="G297" t="str">
            <v>ผ.ฟค.วบ.</v>
          </cell>
        </row>
        <row r="298">
          <cell r="B298">
            <v>610225</v>
          </cell>
          <cell r="C298" t="str">
            <v>นาย</v>
          </cell>
          <cell r="E298" t="str">
            <v>ปกรณ์</v>
          </cell>
          <cell r="F298" t="str">
            <v>มุสิกะเภอ</v>
          </cell>
          <cell r="G298" t="str">
            <v>ผ.ฟค.วบ.</v>
          </cell>
        </row>
        <row r="299">
          <cell r="B299">
            <v>680070</v>
          </cell>
          <cell r="C299" t="str">
            <v>นาย</v>
          </cell>
          <cell r="E299" t="str">
            <v>ธนกฤต</v>
          </cell>
          <cell r="F299" t="str">
            <v>นามวงษ์</v>
          </cell>
          <cell r="G299" t="str">
            <v>ผ.ฟค.วบ.</v>
          </cell>
        </row>
        <row r="300">
          <cell r="B300">
            <v>650025</v>
          </cell>
          <cell r="C300" t="str">
            <v>นาย</v>
          </cell>
          <cell r="E300" t="str">
            <v>ณัฐกาญจน์</v>
          </cell>
          <cell r="F300" t="str">
            <v>งามเทาว์</v>
          </cell>
          <cell r="G300" t="str">
            <v>ผ.ฟค.วบ.</v>
          </cell>
        </row>
        <row r="301">
          <cell r="B301">
            <v>670123</v>
          </cell>
          <cell r="C301" t="str">
            <v>นาย</v>
          </cell>
          <cell r="E301" t="str">
            <v>พิชนะ</v>
          </cell>
          <cell r="F301" t="str">
            <v>จิรสุขภิรมย์</v>
          </cell>
          <cell r="G301" t="str">
            <v>ผ.ฟค.วบ.</v>
          </cell>
        </row>
        <row r="302">
          <cell r="B302">
            <v>470108</v>
          </cell>
          <cell r="C302" t="str">
            <v>นาย</v>
          </cell>
          <cell r="E302" t="str">
            <v>ปฐมพงศ์</v>
          </cell>
          <cell r="F302" t="str">
            <v>ชี้ทางดี</v>
          </cell>
          <cell r="G302" t="str">
            <v>ผ.คท.วบ.</v>
          </cell>
        </row>
        <row r="303">
          <cell r="B303">
            <v>560323</v>
          </cell>
          <cell r="C303" t="str">
            <v>นาย</v>
          </cell>
          <cell r="E303" t="str">
            <v>ณัฐศมน</v>
          </cell>
          <cell r="F303" t="str">
            <v>ชั้นแก้ว</v>
          </cell>
          <cell r="G303" t="str">
            <v>ผ.คท.วบ.</v>
          </cell>
        </row>
        <row r="304">
          <cell r="B304">
            <v>350087</v>
          </cell>
          <cell r="C304" t="str">
            <v>นาย</v>
          </cell>
          <cell r="E304" t="str">
            <v>สมศักดิ์</v>
          </cell>
          <cell r="F304" t="str">
            <v>ขาวสนิท</v>
          </cell>
          <cell r="G304" t="str">
            <v>ผ.คท.วบ.</v>
          </cell>
        </row>
        <row r="305">
          <cell r="B305">
            <v>640128</v>
          </cell>
          <cell r="C305" t="str">
            <v>นาย</v>
          </cell>
          <cell r="E305" t="str">
            <v>ถิรายุทธ์</v>
          </cell>
          <cell r="F305" t="str">
            <v>โศจิพิสุทธิ์</v>
          </cell>
          <cell r="G305" t="str">
            <v>ผ.คท.วบ.</v>
          </cell>
        </row>
        <row r="306">
          <cell r="B306">
            <v>650051</v>
          </cell>
          <cell r="C306" t="str">
            <v>นาย</v>
          </cell>
          <cell r="E306" t="str">
            <v>รัตนชัย</v>
          </cell>
          <cell r="F306" t="str">
            <v>ชูทิ่ง</v>
          </cell>
          <cell r="G306" t="str">
            <v>ผ.คท.วบ.</v>
          </cell>
        </row>
        <row r="307">
          <cell r="B307">
            <v>670033</v>
          </cell>
          <cell r="C307" t="str">
            <v>นาย</v>
          </cell>
          <cell r="E307" t="str">
            <v>ธนกร</v>
          </cell>
          <cell r="F307" t="str">
            <v>คงยก</v>
          </cell>
          <cell r="G307" t="str">
            <v>ผ.คท.วบ.</v>
          </cell>
        </row>
        <row r="308">
          <cell r="B308">
            <v>630027</v>
          </cell>
          <cell r="C308" t="str">
            <v>นาย</v>
          </cell>
          <cell r="E308" t="str">
            <v>เนติพงศ์</v>
          </cell>
          <cell r="F308" t="str">
            <v>ทวีเมือง</v>
          </cell>
          <cell r="G308" t="str">
            <v>ผ.คท.วบ.</v>
          </cell>
        </row>
        <row r="309">
          <cell r="B309">
            <v>640125</v>
          </cell>
          <cell r="C309" t="str">
            <v>นาย</v>
          </cell>
          <cell r="E309" t="str">
            <v>ธงชัย</v>
          </cell>
          <cell r="F309" t="str">
            <v>ดีเหลือ</v>
          </cell>
          <cell r="G309" t="str">
            <v>ผ.คท.วบ.</v>
          </cell>
        </row>
        <row r="310">
          <cell r="B310">
            <v>450031</v>
          </cell>
          <cell r="C310" t="str">
            <v>นาย</v>
          </cell>
          <cell r="E310" t="str">
            <v>โสภณ</v>
          </cell>
          <cell r="F310" t="str">
            <v>บุญวิริยะ</v>
          </cell>
          <cell r="G310" t="str">
            <v>ผ.บว.วบ.</v>
          </cell>
        </row>
        <row r="311">
          <cell r="B311">
            <v>450027</v>
          </cell>
          <cell r="C311" t="str">
            <v>นาย</v>
          </cell>
          <cell r="E311" t="str">
            <v>ปรีชา</v>
          </cell>
          <cell r="F311" t="str">
            <v>สุเมธากุลวัฒน์</v>
          </cell>
          <cell r="G311" t="str">
            <v>ผ.บว.วบ.</v>
          </cell>
        </row>
        <row r="312">
          <cell r="B312">
            <v>550121</v>
          </cell>
          <cell r="C312" t="str">
            <v>นาย</v>
          </cell>
          <cell r="E312" t="str">
            <v>วรวิทย์</v>
          </cell>
          <cell r="F312" t="str">
            <v>ย่องลั่น</v>
          </cell>
          <cell r="G312" t="str">
            <v>ผ.บว.วบ.</v>
          </cell>
        </row>
        <row r="313">
          <cell r="B313">
            <v>540222</v>
          </cell>
          <cell r="C313" t="str">
            <v>น.ส.</v>
          </cell>
          <cell r="E313" t="str">
            <v>ธีรารัตน์</v>
          </cell>
          <cell r="F313" t="str">
            <v>วราสิทธิ์ชานนท์</v>
          </cell>
          <cell r="G313" t="str">
            <v>ผ.บว.วบ.</v>
          </cell>
        </row>
        <row r="314">
          <cell r="B314">
            <v>550120</v>
          </cell>
          <cell r="C314" t="str">
            <v>น.ส.</v>
          </cell>
          <cell r="E314" t="str">
            <v>ภรณ์ศิริ</v>
          </cell>
          <cell r="F314" t="str">
            <v>ไชยลิขิต</v>
          </cell>
          <cell r="G314" t="str">
            <v>ผ.บว.วบ.</v>
          </cell>
        </row>
        <row r="315">
          <cell r="B315">
            <v>630003</v>
          </cell>
          <cell r="C315" t="str">
            <v>นาย</v>
          </cell>
          <cell r="E315" t="str">
            <v>วิกรม</v>
          </cell>
          <cell r="F315" t="str">
            <v>ชัยวิริยะวงศ์</v>
          </cell>
          <cell r="G315" t="str">
            <v>ผ.บว.วบ.</v>
          </cell>
        </row>
        <row r="316">
          <cell r="B316">
            <v>660107</v>
          </cell>
          <cell r="C316" t="str">
            <v>น.ส.</v>
          </cell>
          <cell r="E316" t="str">
            <v>อาทิตยา</v>
          </cell>
          <cell r="F316" t="str">
            <v>พรหมทองแก้ว</v>
          </cell>
          <cell r="G316" t="str">
            <v>ผ.บว.วบ.</v>
          </cell>
        </row>
        <row r="317">
          <cell r="B317">
            <v>350181</v>
          </cell>
          <cell r="C317" t="str">
            <v>นาย</v>
          </cell>
          <cell r="E317" t="str">
            <v>ถิรนันท์</v>
          </cell>
          <cell r="F317" t="str">
            <v>ไกรทองสุข</v>
          </cell>
          <cell r="G317" t="str">
            <v>บอก.</v>
          </cell>
        </row>
        <row r="318">
          <cell r="B318">
            <v>340014</v>
          </cell>
          <cell r="C318" t="str">
            <v>นาย</v>
          </cell>
          <cell r="E318" t="str">
            <v>พงษ์สันติ์</v>
          </cell>
          <cell r="F318" t="str">
            <v>บุญสรรค์</v>
          </cell>
          <cell r="G318" t="str">
            <v>บอก.</v>
          </cell>
        </row>
        <row r="319">
          <cell r="B319">
            <v>370052</v>
          </cell>
          <cell r="C319" t="str">
            <v>นาย</v>
          </cell>
          <cell r="E319" t="str">
            <v>กังวาฬ</v>
          </cell>
          <cell r="F319" t="str">
            <v>รักจะโป๊ะ</v>
          </cell>
          <cell r="G319" t="str">
            <v>บอก.</v>
          </cell>
        </row>
        <row r="320">
          <cell r="B320">
            <v>450024</v>
          </cell>
          <cell r="C320" t="str">
            <v>นาย</v>
          </cell>
          <cell r="E320" t="str">
            <v>วีรเดช</v>
          </cell>
          <cell r="F320" t="str">
            <v>งามรุ่งนิรันดร์</v>
          </cell>
          <cell r="G320" t="str">
            <v>ปค.บอก.</v>
          </cell>
        </row>
        <row r="321">
          <cell r="B321">
            <v>410068</v>
          </cell>
          <cell r="C321" t="str">
            <v>นาง</v>
          </cell>
          <cell r="E321" t="str">
            <v>ชมัยพร</v>
          </cell>
          <cell r="F321" t="str">
            <v>วีระวงศ์</v>
          </cell>
          <cell r="G321" t="str">
            <v>ปค.บอก.</v>
          </cell>
        </row>
        <row r="322">
          <cell r="B322">
            <v>470006</v>
          </cell>
          <cell r="C322" t="str">
            <v>นาย</v>
          </cell>
          <cell r="E322" t="str">
            <v>อัศวิน</v>
          </cell>
          <cell r="F322" t="str">
            <v>ชาลีรินทร์</v>
          </cell>
          <cell r="G322" t="str">
            <v>ปค.บอก.</v>
          </cell>
        </row>
        <row r="323">
          <cell r="B323">
            <v>550303</v>
          </cell>
          <cell r="C323" t="str">
            <v>น.ส.</v>
          </cell>
          <cell r="E323" t="str">
            <v>สุพรรษา</v>
          </cell>
          <cell r="F323" t="str">
            <v>มั่นวาจา</v>
          </cell>
          <cell r="G323" t="str">
            <v>ปค.บอก.</v>
          </cell>
        </row>
        <row r="324">
          <cell r="B324">
            <v>470091</v>
          </cell>
          <cell r="C324" t="str">
            <v>นาย</v>
          </cell>
          <cell r="E324" t="str">
            <v>วิชา</v>
          </cell>
          <cell r="F324" t="str">
            <v>ชัยวิเชียร</v>
          </cell>
          <cell r="G324" t="str">
            <v>ปค.บอก.</v>
          </cell>
        </row>
        <row r="325">
          <cell r="B325">
            <v>660100</v>
          </cell>
          <cell r="C325" t="str">
            <v>นาย</v>
          </cell>
          <cell r="E325" t="str">
            <v>วรานนท์</v>
          </cell>
          <cell r="F325" t="str">
            <v>หอมประเสริฐ</v>
          </cell>
          <cell r="G325" t="str">
            <v>ปค.บอก.</v>
          </cell>
        </row>
        <row r="326">
          <cell r="B326">
            <v>480230</v>
          </cell>
          <cell r="C326" t="str">
            <v>นาย</v>
          </cell>
          <cell r="E326" t="str">
            <v>รุ่งคุณ</v>
          </cell>
          <cell r="F326" t="str">
            <v>ใจเย็น</v>
          </cell>
          <cell r="G326" t="str">
            <v>ผ.ปก.A ปค.</v>
          </cell>
        </row>
        <row r="327">
          <cell r="B327">
            <v>490029</v>
          </cell>
          <cell r="C327" t="str">
            <v>นาย</v>
          </cell>
          <cell r="E327" t="str">
            <v>เอกราช</v>
          </cell>
          <cell r="F327" t="str">
            <v>ชมชื่นมีกุล</v>
          </cell>
          <cell r="G327" t="str">
            <v>ผ.ปก.A ปค.</v>
          </cell>
        </row>
        <row r="328">
          <cell r="B328">
            <v>610160</v>
          </cell>
          <cell r="C328" t="str">
            <v>นาย</v>
          </cell>
          <cell r="E328" t="str">
            <v>ทรงพล</v>
          </cell>
          <cell r="F328" t="str">
            <v>กระจะจ่าง</v>
          </cell>
          <cell r="G328" t="str">
            <v>ผ.ปก.A ปค.</v>
          </cell>
        </row>
        <row r="329">
          <cell r="B329">
            <v>490207</v>
          </cell>
          <cell r="C329" t="str">
            <v>นาย</v>
          </cell>
          <cell r="E329" t="str">
            <v>พัฒนพงษ์</v>
          </cell>
          <cell r="F329" t="str">
            <v>มูลอนันต์</v>
          </cell>
          <cell r="G329" t="str">
            <v>ผ.ปก.B ปค.</v>
          </cell>
        </row>
        <row r="330">
          <cell r="B330">
            <v>540301</v>
          </cell>
          <cell r="C330" t="str">
            <v>นาย</v>
          </cell>
          <cell r="E330" t="str">
            <v>กิตติพร</v>
          </cell>
          <cell r="F330" t="str">
            <v>เขียวเกษม</v>
          </cell>
          <cell r="G330" t="str">
            <v>ผ.ปก.B ปค.</v>
          </cell>
        </row>
        <row r="331">
          <cell r="B331">
            <v>670097</v>
          </cell>
          <cell r="C331" t="str">
            <v>นาย</v>
          </cell>
          <cell r="E331" t="str">
            <v>อัสนี</v>
          </cell>
          <cell r="F331" t="str">
            <v>ภูธนะกูล</v>
          </cell>
          <cell r="G331" t="str">
            <v>ผ.ปก.B ปค.</v>
          </cell>
        </row>
        <row r="332">
          <cell r="B332">
            <v>440027</v>
          </cell>
          <cell r="C332" t="str">
            <v>นาย</v>
          </cell>
          <cell r="E332" t="str">
            <v>ประเสริฐ</v>
          </cell>
          <cell r="F332" t="str">
            <v>ไชยชนะ</v>
          </cell>
          <cell r="G332" t="str">
            <v>ผ.ปก.C ปค.</v>
          </cell>
        </row>
        <row r="333">
          <cell r="B333">
            <v>400220</v>
          </cell>
          <cell r="C333" t="str">
            <v>นาย</v>
          </cell>
          <cell r="E333" t="str">
            <v>ประชา</v>
          </cell>
          <cell r="F333" t="str">
            <v>ชาดแดง</v>
          </cell>
          <cell r="G333" t="str">
            <v>ผ.ปก.C ปค.</v>
          </cell>
        </row>
        <row r="334">
          <cell r="B334">
            <v>670098</v>
          </cell>
          <cell r="C334" t="str">
            <v>นาย</v>
          </cell>
          <cell r="E334" t="str">
            <v>อภิรักษ์</v>
          </cell>
          <cell r="F334" t="str">
            <v>จูงกลาง</v>
          </cell>
          <cell r="G334" t="str">
            <v>ผ.ปก.C ปค.</v>
          </cell>
        </row>
        <row r="335">
          <cell r="B335">
            <v>490203</v>
          </cell>
          <cell r="C335" t="str">
            <v>นาย</v>
          </cell>
          <cell r="E335" t="str">
            <v>พิษณุ</v>
          </cell>
          <cell r="F335" t="str">
            <v>ชงโค</v>
          </cell>
          <cell r="G335" t="str">
            <v>ผ.ปก.D ปค.</v>
          </cell>
        </row>
        <row r="336">
          <cell r="B336">
            <v>490219</v>
          </cell>
          <cell r="C336" t="str">
            <v>นาย</v>
          </cell>
          <cell r="E336" t="str">
            <v>ธวัช</v>
          </cell>
          <cell r="F336" t="str">
            <v>แก้วชูมา</v>
          </cell>
          <cell r="G336" t="str">
            <v>ผ.ปก.D ปค.</v>
          </cell>
        </row>
        <row r="337">
          <cell r="B337">
            <v>670096</v>
          </cell>
          <cell r="C337" t="str">
            <v>นาย</v>
          </cell>
          <cell r="E337" t="str">
            <v>ชนากร</v>
          </cell>
          <cell r="F337" t="str">
            <v>เหมะธุลิน</v>
          </cell>
          <cell r="G337" t="str">
            <v>ผ.ปก.D ปค.</v>
          </cell>
        </row>
        <row r="338">
          <cell r="B338">
            <v>490201</v>
          </cell>
          <cell r="C338" t="str">
            <v>นาย</v>
          </cell>
          <cell r="E338" t="str">
            <v>สุชัจจ์ภีมพศ</v>
          </cell>
          <cell r="F338" t="str">
            <v>อาภาวัฒนสกุล</v>
          </cell>
          <cell r="G338" t="str">
            <v>วร.บอก.</v>
          </cell>
        </row>
        <row r="339">
          <cell r="B339">
            <v>530011</v>
          </cell>
          <cell r="C339" t="str">
            <v>นาย</v>
          </cell>
          <cell r="E339" t="str">
            <v>นิติ</v>
          </cell>
          <cell r="F339" t="str">
            <v>ปุรินทราภิบาล</v>
          </cell>
          <cell r="G339" t="str">
            <v>วร.บอก.</v>
          </cell>
        </row>
        <row r="340">
          <cell r="B340">
            <v>530069</v>
          </cell>
          <cell r="C340" t="str">
            <v>นาย</v>
          </cell>
          <cell r="E340" t="str">
            <v>จักรพันธ์</v>
          </cell>
          <cell r="F340" t="str">
            <v>ศรียาภัย</v>
          </cell>
          <cell r="G340" t="str">
            <v>วร.บอก.</v>
          </cell>
        </row>
        <row r="341">
          <cell r="B341">
            <v>560069</v>
          </cell>
          <cell r="C341" t="str">
            <v>นาย</v>
          </cell>
          <cell r="E341" t="str">
            <v>ธนพล</v>
          </cell>
          <cell r="F341" t="str">
            <v>สถาพร</v>
          </cell>
          <cell r="G341" t="str">
            <v>วร.บอก.</v>
          </cell>
        </row>
        <row r="342">
          <cell r="B342">
            <v>330017</v>
          </cell>
          <cell r="C342" t="str">
            <v>นาย</v>
          </cell>
          <cell r="E342" t="str">
            <v>พงษ์ศักดิ์</v>
          </cell>
          <cell r="F342" t="str">
            <v>เนื้อน่วม</v>
          </cell>
          <cell r="G342" t="str">
            <v>วร.บอก.</v>
          </cell>
        </row>
        <row r="343">
          <cell r="B343">
            <v>490161</v>
          </cell>
          <cell r="C343" t="str">
            <v>นาย</v>
          </cell>
          <cell r="E343" t="str">
            <v>วิรัตน์</v>
          </cell>
          <cell r="F343" t="str">
            <v>งามดี</v>
          </cell>
          <cell r="G343" t="str">
            <v>วร.บอก.</v>
          </cell>
        </row>
        <row r="344">
          <cell r="B344">
            <v>550175</v>
          </cell>
          <cell r="C344" t="str">
            <v>นาย</v>
          </cell>
          <cell r="E344" t="str">
            <v>ยุทธนา</v>
          </cell>
          <cell r="F344" t="str">
            <v>สังข์ทอง</v>
          </cell>
          <cell r="G344" t="str">
            <v>วร.บอก.</v>
          </cell>
        </row>
        <row r="345">
          <cell r="B345">
            <v>600272</v>
          </cell>
          <cell r="C345" t="str">
            <v>น.ส.</v>
          </cell>
          <cell r="E345" t="str">
            <v>สินีนาฏ</v>
          </cell>
          <cell r="F345" t="str">
            <v>จำนงค์ผล</v>
          </cell>
          <cell r="G345" t="str">
            <v>วร.บอก.</v>
          </cell>
        </row>
        <row r="346">
          <cell r="B346">
            <v>540285</v>
          </cell>
          <cell r="C346" t="str">
            <v>นาย</v>
          </cell>
          <cell r="E346" t="str">
            <v>มนตรี</v>
          </cell>
          <cell r="F346" t="str">
            <v>ทาระวา</v>
          </cell>
          <cell r="G346" t="str">
            <v>วร.บอก.</v>
          </cell>
        </row>
        <row r="347">
          <cell r="B347">
            <v>670034</v>
          </cell>
          <cell r="C347" t="str">
            <v>นาย</v>
          </cell>
          <cell r="E347" t="str">
            <v>จตุพัฒน์</v>
          </cell>
          <cell r="F347" t="str">
            <v>สุธนรักษ์</v>
          </cell>
          <cell r="G347" t="str">
            <v>วร.บอก.</v>
          </cell>
        </row>
        <row r="348">
          <cell r="B348">
            <v>370041</v>
          </cell>
          <cell r="C348" t="str">
            <v>นาย</v>
          </cell>
          <cell r="E348" t="str">
            <v>ฐานิฎฐ์</v>
          </cell>
          <cell r="F348" t="str">
            <v>ทินนาม</v>
          </cell>
          <cell r="G348" t="str">
            <v>คอ.บอก.</v>
          </cell>
        </row>
        <row r="349">
          <cell r="B349">
            <v>540032</v>
          </cell>
          <cell r="C349" t="str">
            <v>นาย</v>
          </cell>
          <cell r="E349" t="str">
            <v>พีรเกียรติ</v>
          </cell>
          <cell r="F349" t="str">
            <v>ไชยรัตน์ทอง</v>
          </cell>
          <cell r="G349" t="str">
            <v>คอ.บอก.</v>
          </cell>
        </row>
        <row r="350">
          <cell r="B350">
            <v>540253</v>
          </cell>
          <cell r="C350" t="str">
            <v>น.ส.</v>
          </cell>
          <cell r="E350" t="str">
            <v>อาริยา</v>
          </cell>
          <cell r="F350" t="str">
            <v>นาวาเจริญ</v>
          </cell>
          <cell r="G350" t="str">
            <v>คอ.บอก.</v>
          </cell>
        </row>
        <row r="351">
          <cell r="B351">
            <v>560156</v>
          </cell>
          <cell r="C351" t="str">
            <v>น.ส.</v>
          </cell>
          <cell r="E351" t="str">
            <v>นวรัตน์</v>
          </cell>
          <cell r="F351" t="str">
            <v>จงมีสุข</v>
          </cell>
          <cell r="G351" t="str">
            <v>คอ.บอก.</v>
          </cell>
        </row>
        <row r="352">
          <cell r="B352">
            <v>570140</v>
          </cell>
          <cell r="C352" t="str">
            <v>น.ส.</v>
          </cell>
          <cell r="E352" t="str">
            <v>อลิสรา</v>
          </cell>
          <cell r="F352" t="str">
            <v>กิติโรจน์พันธ์</v>
          </cell>
          <cell r="G352" t="str">
            <v>คอ.บอก.</v>
          </cell>
        </row>
        <row r="353">
          <cell r="B353">
            <v>280005</v>
          </cell>
          <cell r="C353" t="str">
            <v>นาง</v>
          </cell>
          <cell r="E353" t="str">
            <v>อัญชลี</v>
          </cell>
          <cell r="F353" t="str">
            <v>ทองศาสตร์</v>
          </cell>
          <cell r="G353" t="str">
            <v>คอ.บอก.</v>
          </cell>
        </row>
        <row r="354">
          <cell r="B354">
            <v>370057</v>
          </cell>
          <cell r="C354" t="str">
            <v>นาย</v>
          </cell>
          <cell r="E354" t="str">
            <v>มณฑล</v>
          </cell>
          <cell r="F354" t="str">
            <v>แพทอง</v>
          </cell>
          <cell r="G354" t="str">
            <v>คอ.บอก.</v>
          </cell>
        </row>
        <row r="355">
          <cell r="B355">
            <v>430042</v>
          </cell>
          <cell r="C355" t="str">
            <v>นาย</v>
          </cell>
          <cell r="E355" t="str">
            <v>พรหมมา</v>
          </cell>
          <cell r="F355" t="str">
            <v>งามไพบูลย์</v>
          </cell>
          <cell r="G355" t="str">
            <v>ผ.บร.บอก.</v>
          </cell>
        </row>
        <row r="356">
          <cell r="B356">
            <v>400010</v>
          </cell>
          <cell r="C356" t="str">
            <v>นาง</v>
          </cell>
          <cell r="E356" t="str">
            <v>พนมพร</v>
          </cell>
          <cell r="F356" t="str">
            <v>สุขพัลลภรัตน์</v>
          </cell>
          <cell r="G356" t="str">
            <v>ผ.บร.บอก.</v>
          </cell>
        </row>
        <row r="357">
          <cell r="B357">
            <v>500129</v>
          </cell>
          <cell r="C357" t="str">
            <v>นาย</v>
          </cell>
          <cell r="E357" t="str">
            <v>สรพงค์</v>
          </cell>
          <cell r="F357" t="str">
            <v>ประจบพวก</v>
          </cell>
          <cell r="G357" t="str">
            <v>ผ.บร.บอก.</v>
          </cell>
        </row>
        <row r="358">
          <cell r="B358">
            <v>580204</v>
          </cell>
          <cell r="C358" t="str">
            <v>นาย</v>
          </cell>
          <cell r="E358" t="str">
            <v>ยุทธพงษ์</v>
          </cell>
          <cell r="F358" t="str">
            <v>ทีเร็ว</v>
          </cell>
          <cell r="G358" t="str">
            <v>ผ.บร.บอก.</v>
          </cell>
        </row>
        <row r="359">
          <cell r="B359">
            <v>360067</v>
          </cell>
          <cell r="C359" t="str">
            <v>นาย</v>
          </cell>
          <cell r="E359" t="str">
            <v>วรทัต</v>
          </cell>
          <cell r="F359" t="str">
            <v>บรรลือเขตร์</v>
          </cell>
          <cell r="G359" t="str">
            <v>วบก.</v>
          </cell>
        </row>
        <row r="360">
          <cell r="B360">
            <v>480042</v>
          </cell>
          <cell r="C360" t="str">
            <v>นาย</v>
          </cell>
          <cell r="E360" t="str">
            <v>หิรัณย์</v>
          </cell>
          <cell r="F360" t="str">
            <v>เวชวิทย์วรากุล</v>
          </cell>
          <cell r="G360" t="str">
            <v>วป.วบก.</v>
          </cell>
        </row>
        <row r="361">
          <cell r="B361">
            <v>570056</v>
          </cell>
          <cell r="C361" t="str">
            <v>น.ส.</v>
          </cell>
          <cell r="E361" t="str">
            <v>ณัฎฐิกา</v>
          </cell>
          <cell r="F361" t="str">
            <v>รัฐกุลพิสุทธิ์</v>
          </cell>
          <cell r="G361" t="str">
            <v>วป.วบก.</v>
          </cell>
        </row>
        <row r="362">
          <cell r="B362">
            <v>550361</v>
          </cell>
          <cell r="C362" t="str">
            <v>น.ส.</v>
          </cell>
          <cell r="E362" t="str">
            <v>ปรัชญาพร</v>
          </cell>
          <cell r="F362" t="str">
            <v>อ่องลออ</v>
          </cell>
          <cell r="G362" t="str">
            <v>วป.วบก.</v>
          </cell>
        </row>
        <row r="363">
          <cell r="B363">
            <v>560174</v>
          </cell>
          <cell r="C363" t="str">
            <v>นาย</v>
          </cell>
          <cell r="E363" t="str">
            <v>ณัฐพงษ์</v>
          </cell>
          <cell r="F363" t="str">
            <v>คชการ</v>
          </cell>
          <cell r="G363" t="str">
            <v>วป.วบก.</v>
          </cell>
        </row>
        <row r="364">
          <cell r="B364">
            <v>660081</v>
          </cell>
          <cell r="C364" t="str">
            <v>น.ส.</v>
          </cell>
          <cell r="E364" t="str">
            <v>วรัญญา</v>
          </cell>
          <cell r="F364" t="str">
            <v>ขันติอุดม</v>
          </cell>
          <cell r="G364" t="str">
            <v>วป.วบก.</v>
          </cell>
        </row>
        <row r="365">
          <cell r="B365">
            <v>400072</v>
          </cell>
          <cell r="C365" t="str">
            <v>นาย</v>
          </cell>
          <cell r="E365" t="str">
            <v>ฐิติ</v>
          </cell>
          <cell r="F365" t="str">
            <v>แสงสระศรี</v>
          </cell>
          <cell r="G365" t="str">
            <v>วก.วบก.</v>
          </cell>
        </row>
        <row r="366">
          <cell r="B366">
            <v>550145</v>
          </cell>
          <cell r="C366" t="str">
            <v>นาย</v>
          </cell>
          <cell r="E366" t="str">
            <v>ธีรยุทธ</v>
          </cell>
          <cell r="F366" t="str">
            <v>ณรัชชยานนท์</v>
          </cell>
          <cell r="G366" t="str">
            <v>วก.วบก.</v>
          </cell>
        </row>
        <row r="367">
          <cell r="B367">
            <v>340118</v>
          </cell>
          <cell r="C367" t="str">
            <v>นาย</v>
          </cell>
          <cell r="E367" t="str">
            <v>นาวิน</v>
          </cell>
          <cell r="F367" t="str">
            <v>ผลสว่าง</v>
          </cell>
          <cell r="G367" t="str">
            <v>วก.วบก.</v>
          </cell>
        </row>
        <row r="368">
          <cell r="B368">
            <v>520103</v>
          </cell>
          <cell r="C368" t="str">
            <v>นาย</v>
          </cell>
          <cell r="E368" t="str">
            <v>นภัส</v>
          </cell>
          <cell r="F368" t="str">
            <v>ธีระตันติกานนท์</v>
          </cell>
          <cell r="G368" t="str">
            <v>วก.วบก.</v>
          </cell>
        </row>
        <row r="369">
          <cell r="B369">
            <v>530110</v>
          </cell>
          <cell r="C369" t="str">
            <v>นาย</v>
          </cell>
          <cell r="E369" t="str">
            <v>ฐีระ</v>
          </cell>
          <cell r="F369" t="str">
            <v>ประยูรพิทักษ์</v>
          </cell>
          <cell r="G369" t="str">
            <v>วก.วบก.</v>
          </cell>
        </row>
        <row r="370">
          <cell r="B370">
            <v>540231</v>
          </cell>
          <cell r="C370" t="str">
            <v>นาย</v>
          </cell>
          <cell r="E370" t="str">
            <v>อภิวิชญ์</v>
          </cell>
          <cell r="F370" t="str">
            <v>มลิชัย</v>
          </cell>
          <cell r="G370" t="str">
            <v>วก.วบก.</v>
          </cell>
        </row>
        <row r="371">
          <cell r="B371">
            <v>400211</v>
          </cell>
          <cell r="C371" t="str">
            <v>นาย</v>
          </cell>
          <cell r="E371" t="str">
            <v>อภิชาติ</v>
          </cell>
          <cell r="F371" t="str">
            <v>พูนแก้ว</v>
          </cell>
          <cell r="G371" t="str">
            <v>วก.วบก.</v>
          </cell>
        </row>
        <row r="372">
          <cell r="B372">
            <v>600222</v>
          </cell>
          <cell r="C372" t="str">
            <v>นาย</v>
          </cell>
          <cell r="E372" t="str">
            <v>นฤพนธ์</v>
          </cell>
          <cell r="F372" t="str">
            <v>คชสินธิ์</v>
          </cell>
          <cell r="G372" t="str">
            <v>วก.วบก.</v>
          </cell>
        </row>
        <row r="373">
          <cell r="B373">
            <v>610108</v>
          </cell>
          <cell r="C373" t="str">
            <v>นาย</v>
          </cell>
          <cell r="E373" t="str">
            <v>จิรวัฒน์</v>
          </cell>
          <cell r="F373" t="str">
            <v>สาติยะ</v>
          </cell>
          <cell r="G373" t="str">
            <v>วก.วบก.</v>
          </cell>
        </row>
        <row r="374">
          <cell r="B374">
            <v>560179</v>
          </cell>
          <cell r="C374" t="str">
            <v>นาย</v>
          </cell>
          <cell r="E374" t="str">
            <v>ตนัย</v>
          </cell>
          <cell r="F374" t="str">
            <v>ช่วยบำรุง</v>
          </cell>
          <cell r="G374" t="str">
            <v>วก.วบก.</v>
          </cell>
        </row>
        <row r="375">
          <cell r="B375">
            <v>610020</v>
          </cell>
          <cell r="C375" t="str">
            <v>น.ส.</v>
          </cell>
          <cell r="E375" t="str">
            <v>วิภานันท์</v>
          </cell>
          <cell r="F375" t="str">
            <v>รัตนบันดาล</v>
          </cell>
          <cell r="G375" t="str">
            <v>วก.วบก.</v>
          </cell>
        </row>
        <row r="376">
          <cell r="B376">
            <v>680075</v>
          </cell>
          <cell r="C376" t="str">
            <v>นาย</v>
          </cell>
          <cell r="E376" t="str">
            <v>วริศนันท์</v>
          </cell>
          <cell r="F376" t="str">
            <v>โรจนสุนันท์</v>
          </cell>
          <cell r="G376" t="str">
            <v>วก.วบก.</v>
          </cell>
        </row>
        <row r="377">
          <cell r="B377">
            <v>690013</v>
          </cell>
          <cell r="C377" t="str">
            <v>นาย</v>
          </cell>
          <cell r="E377" t="str">
            <v>หัสชัย</v>
          </cell>
          <cell r="F377" t="str">
            <v>อิงคสุวรรณ</v>
          </cell>
          <cell r="G377" t="str">
            <v>วก.วบก.</v>
          </cell>
        </row>
        <row r="378">
          <cell r="B378">
            <v>670119</v>
          </cell>
          <cell r="C378" t="str">
            <v>นาย</v>
          </cell>
          <cell r="E378" t="str">
            <v>จักริน</v>
          </cell>
          <cell r="F378" t="str">
            <v>หวินกำปัง</v>
          </cell>
          <cell r="G378" t="str">
            <v>วก.วบก.</v>
          </cell>
        </row>
        <row r="379">
          <cell r="B379">
            <v>450046</v>
          </cell>
          <cell r="C379" t="str">
            <v>นาย</v>
          </cell>
          <cell r="E379" t="str">
            <v>พัฒน์สิน</v>
          </cell>
          <cell r="F379" t="str">
            <v>วรโชติกิตินันท์</v>
          </cell>
          <cell r="G379" t="str">
            <v>ผบ.วบก.</v>
          </cell>
        </row>
        <row r="380">
          <cell r="B380">
            <v>490010</v>
          </cell>
          <cell r="C380" t="str">
            <v>นาย</v>
          </cell>
          <cell r="E380" t="str">
            <v>พรเทพ</v>
          </cell>
          <cell r="F380" t="str">
            <v>รุ่งรัศมี</v>
          </cell>
          <cell r="G380" t="str">
            <v>ผบ.วบก.</v>
          </cell>
        </row>
        <row r="381">
          <cell r="B381">
            <v>550144</v>
          </cell>
          <cell r="C381" t="str">
            <v>นาย</v>
          </cell>
          <cell r="E381" t="str">
            <v>คุณารักษ์</v>
          </cell>
          <cell r="F381" t="str">
            <v>คุณากูลสวัสดิ์</v>
          </cell>
          <cell r="G381" t="str">
            <v>ผบ.วบก.</v>
          </cell>
        </row>
        <row r="382">
          <cell r="B382">
            <v>560172</v>
          </cell>
          <cell r="C382" t="str">
            <v>นาย</v>
          </cell>
          <cell r="E382" t="str">
            <v>อภิณัฐ</v>
          </cell>
          <cell r="F382" t="str">
            <v>เอื้อไพโรจน์ถาวร</v>
          </cell>
          <cell r="G382" t="str">
            <v>ผบ.วบก.</v>
          </cell>
        </row>
        <row r="383">
          <cell r="B383">
            <v>610183</v>
          </cell>
          <cell r="C383" t="str">
            <v>น.ส.</v>
          </cell>
          <cell r="E383" t="str">
            <v>จิรัชฐวี</v>
          </cell>
          <cell r="F383" t="str">
            <v>เวชวิทย์วรากุล</v>
          </cell>
          <cell r="G383" t="str">
            <v>ผบ.วบก.</v>
          </cell>
        </row>
        <row r="384">
          <cell r="B384">
            <v>570117</v>
          </cell>
          <cell r="C384" t="str">
            <v>นาย</v>
          </cell>
          <cell r="E384" t="str">
            <v>สุชัจจ์</v>
          </cell>
          <cell r="F384" t="str">
            <v>ภูริยากร</v>
          </cell>
          <cell r="G384" t="str">
            <v>ผบ.วบก.</v>
          </cell>
        </row>
        <row r="385">
          <cell r="B385">
            <v>580077</v>
          </cell>
          <cell r="C385" t="str">
            <v>น.ส.</v>
          </cell>
          <cell r="E385" t="str">
            <v>ฐานิญา</v>
          </cell>
          <cell r="F385" t="str">
            <v>คณาจันทร์</v>
          </cell>
          <cell r="G385" t="str">
            <v>ผบ.วบก.</v>
          </cell>
        </row>
        <row r="386">
          <cell r="B386">
            <v>590001</v>
          </cell>
          <cell r="C386" t="str">
            <v>นาย</v>
          </cell>
          <cell r="E386" t="str">
            <v>อณัศกรณ์</v>
          </cell>
          <cell r="F386" t="str">
            <v>อธิพัฒน์เตชิน</v>
          </cell>
          <cell r="G386" t="str">
            <v>ผบ.วบก.</v>
          </cell>
        </row>
        <row r="387">
          <cell r="B387">
            <v>650026</v>
          </cell>
          <cell r="C387" t="str">
            <v>นาย</v>
          </cell>
          <cell r="E387" t="str">
            <v>ณัฐภัทร</v>
          </cell>
          <cell r="F387" t="str">
            <v>มีแจ้ง</v>
          </cell>
          <cell r="G387" t="str">
            <v>ผบ.วบก.</v>
          </cell>
        </row>
        <row r="388">
          <cell r="B388">
            <v>670020</v>
          </cell>
          <cell r="C388" t="str">
            <v>นาย</v>
          </cell>
          <cell r="E388" t="str">
            <v>สุรวัชร์</v>
          </cell>
          <cell r="F388" t="str">
            <v>เพชรมณี</v>
          </cell>
          <cell r="G388" t="str">
            <v>ผบ.วบก.</v>
          </cell>
        </row>
        <row r="389">
          <cell r="B389">
            <v>670122</v>
          </cell>
          <cell r="C389" t="str">
            <v>นาย</v>
          </cell>
          <cell r="E389" t="str">
            <v>ชิณวัชร</v>
          </cell>
          <cell r="F389" t="str">
            <v>จันทร์เปล่ง</v>
          </cell>
          <cell r="G389" t="str">
            <v>ผบ.วบก.</v>
          </cell>
        </row>
        <row r="390">
          <cell r="B390">
            <v>680018</v>
          </cell>
          <cell r="C390" t="str">
            <v>นาย</v>
          </cell>
          <cell r="E390" t="str">
            <v>สรวิชญ์</v>
          </cell>
          <cell r="F390" t="str">
            <v>ศรีเจริญตา</v>
          </cell>
          <cell r="G390" t="str">
            <v>ผบ.วบก.</v>
          </cell>
        </row>
        <row r="391">
          <cell r="B391">
            <v>680082</v>
          </cell>
          <cell r="C391" t="str">
            <v>นาย</v>
          </cell>
          <cell r="E391" t="str">
            <v>ณฐกร</v>
          </cell>
          <cell r="F391" t="str">
            <v>ศรีวิลัย</v>
          </cell>
          <cell r="G391" t="str">
            <v>ผบ.วบก.</v>
          </cell>
        </row>
        <row r="392">
          <cell r="B392">
            <v>490121</v>
          </cell>
          <cell r="C392" t="str">
            <v>นาย</v>
          </cell>
          <cell r="E392" t="str">
            <v>วริทธิ์ธร</v>
          </cell>
          <cell r="F392" t="str">
            <v>นาทธราดล</v>
          </cell>
          <cell r="G392" t="str">
            <v>บง.วบก.</v>
          </cell>
        </row>
        <row r="393">
          <cell r="B393">
            <v>540171</v>
          </cell>
          <cell r="C393" t="str">
            <v>นาย</v>
          </cell>
          <cell r="E393" t="str">
            <v>กิติพล</v>
          </cell>
          <cell r="F393" t="str">
            <v>หนูสง</v>
          </cell>
          <cell r="G393" t="str">
            <v>บง.วบก.</v>
          </cell>
        </row>
        <row r="394">
          <cell r="B394">
            <v>340018</v>
          </cell>
          <cell r="C394" t="str">
            <v>นาย</v>
          </cell>
          <cell r="E394" t="str">
            <v>อำนาจ</v>
          </cell>
          <cell r="F394" t="str">
            <v>สุขสุเมฆ</v>
          </cell>
          <cell r="G394" t="str">
            <v>บง.วบก.</v>
          </cell>
        </row>
        <row r="395">
          <cell r="B395">
            <v>340093</v>
          </cell>
          <cell r="C395" t="str">
            <v>นาย</v>
          </cell>
          <cell r="E395" t="str">
            <v>สุเทพ</v>
          </cell>
          <cell r="F395" t="str">
            <v>มีทอง</v>
          </cell>
          <cell r="G395" t="str">
            <v>บง.วบก.</v>
          </cell>
        </row>
        <row r="396">
          <cell r="B396">
            <v>340106</v>
          </cell>
          <cell r="C396" t="str">
            <v>นาย</v>
          </cell>
          <cell r="E396" t="str">
            <v>อินทรัตถ์</v>
          </cell>
          <cell r="F396" t="str">
            <v>ทั่วทิพย์</v>
          </cell>
          <cell r="G396" t="str">
            <v>บง.วบก.</v>
          </cell>
        </row>
        <row r="397">
          <cell r="B397">
            <v>340145</v>
          </cell>
          <cell r="C397" t="str">
            <v>นาย</v>
          </cell>
          <cell r="E397" t="str">
            <v>คนึง</v>
          </cell>
          <cell r="F397" t="str">
            <v>อิ่มสมบูรณ์</v>
          </cell>
          <cell r="G397" t="str">
            <v>บง.วบก.</v>
          </cell>
        </row>
        <row r="398">
          <cell r="B398">
            <v>560225</v>
          </cell>
          <cell r="C398" t="str">
            <v>นาย</v>
          </cell>
          <cell r="E398" t="str">
            <v>ปัญจพล</v>
          </cell>
          <cell r="F398" t="str">
            <v>กิตติสรรพกุล</v>
          </cell>
          <cell r="G398" t="str">
            <v>บง.วบก.</v>
          </cell>
        </row>
        <row r="399">
          <cell r="B399">
            <v>570116</v>
          </cell>
          <cell r="C399" t="str">
            <v>นาย</v>
          </cell>
          <cell r="E399" t="str">
            <v>สารัช</v>
          </cell>
          <cell r="F399" t="str">
            <v>ศุภจิตตากร</v>
          </cell>
          <cell r="G399" t="str">
            <v>บง.วบก.</v>
          </cell>
        </row>
        <row r="400">
          <cell r="B400">
            <v>350085</v>
          </cell>
          <cell r="C400" t="str">
            <v>นาย</v>
          </cell>
          <cell r="E400" t="str">
            <v>ธำรง</v>
          </cell>
          <cell r="F400" t="str">
            <v>วงษ์บุบผา</v>
          </cell>
          <cell r="G400" t="str">
            <v>บง.วบก.</v>
          </cell>
        </row>
        <row r="401">
          <cell r="B401">
            <v>480179</v>
          </cell>
          <cell r="C401" t="str">
            <v>นาย</v>
          </cell>
          <cell r="E401" t="str">
            <v>นรงฤทธิ์</v>
          </cell>
          <cell r="F401" t="str">
            <v>กองเขต</v>
          </cell>
          <cell r="G401" t="str">
            <v>บง.วบก.</v>
          </cell>
        </row>
        <row r="402">
          <cell r="B402">
            <v>490005</v>
          </cell>
          <cell r="C402" t="str">
            <v>นาย</v>
          </cell>
          <cell r="E402" t="str">
            <v>อภิสิทธิ์</v>
          </cell>
          <cell r="F402" t="str">
            <v>พรจำศิลป์</v>
          </cell>
          <cell r="G402" t="str">
            <v>บง.วบก.</v>
          </cell>
        </row>
        <row r="403">
          <cell r="B403">
            <v>490101</v>
          </cell>
          <cell r="C403" t="str">
            <v>นาย</v>
          </cell>
          <cell r="E403" t="str">
            <v>วิบูลย์</v>
          </cell>
          <cell r="F403" t="str">
            <v>อ่อนอุทัย</v>
          </cell>
          <cell r="G403" t="str">
            <v>บง.วบก.</v>
          </cell>
        </row>
        <row r="404">
          <cell r="B404">
            <v>500047</v>
          </cell>
          <cell r="C404" t="str">
            <v>นาย</v>
          </cell>
          <cell r="E404" t="str">
            <v>ณภัทร</v>
          </cell>
          <cell r="F404" t="str">
            <v>ท้าวพิมพ์</v>
          </cell>
          <cell r="G404" t="str">
            <v>บง.วบก.</v>
          </cell>
        </row>
        <row r="405">
          <cell r="B405">
            <v>580264</v>
          </cell>
          <cell r="C405" t="str">
            <v>นาย</v>
          </cell>
          <cell r="E405" t="str">
            <v>กวิน</v>
          </cell>
          <cell r="F405" t="str">
            <v>ทองหลิ่ม</v>
          </cell>
          <cell r="G405" t="str">
            <v>บง.วบก.</v>
          </cell>
        </row>
        <row r="406">
          <cell r="B406">
            <v>480180</v>
          </cell>
          <cell r="C406" t="str">
            <v>นาย</v>
          </cell>
          <cell r="E406" t="str">
            <v>สุเทพ</v>
          </cell>
          <cell r="F406" t="str">
            <v>ดิษขุนทด</v>
          </cell>
          <cell r="G406" t="str">
            <v>บง.วบก.</v>
          </cell>
        </row>
        <row r="407">
          <cell r="B407">
            <v>490003</v>
          </cell>
          <cell r="C407" t="str">
            <v>นาย</v>
          </cell>
          <cell r="E407" t="str">
            <v>เกียรติศักดิ์</v>
          </cell>
          <cell r="F407" t="str">
            <v>เพชรวิบูลย์การ</v>
          </cell>
          <cell r="G407" t="str">
            <v>บง.วบก.</v>
          </cell>
        </row>
        <row r="408">
          <cell r="B408">
            <v>490004</v>
          </cell>
          <cell r="C408" t="str">
            <v>นาย</v>
          </cell>
          <cell r="E408" t="str">
            <v>อภินันท์</v>
          </cell>
          <cell r="F408" t="str">
            <v>ยิ่งยวด</v>
          </cell>
          <cell r="G408" t="str">
            <v>บง.วบก.</v>
          </cell>
        </row>
        <row r="409">
          <cell r="B409">
            <v>550076</v>
          </cell>
          <cell r="C409" t="str">
            <v>นาย</v>
          </cell>
          <cell r="E409" t="str">
            <v>ศราวุธ</v>
          </cell>
          <cell r="F409" t="str">
            <v>ยะย่าเป้า</v>
          </cell>
          <cell r="G409" t="str">
            <v>บง.วบก.</v>
          </cell>
        </row>
        <row r="410">
          <cell r="B410">
            <v>550077</v>
          </cell>
          <cell r="C410" t="str">
            <v>นาย</v>
          </cell>
          <cell r="D410" t="str">
            <v>ว่าที่ ร.ต.</v>
          </cell>
          <cell r="E410" t="str">
            <v>กิตติศักดิ์</v>
          </cell>
          <cell r="F410" t="str">
            <v>ดัสกรธรรมกุล</v>
          </cell>
          <cell r="G410" t="str">
            <v>บง.วบก.</v>
          </cell>
        </row>
        <row r="411">
          <cell r="B411">
            <v>550209</v>
          </cell>
          <cell r="C411" t="str">
            <v>นาย</v>
          </cell>
          <cell r="E411" t="str">
            <v>บุญญรักษ์</v>
          </cell>
          <cell r="F411" t="str">
            <v>มาขำ</v>
          </cell>
          <cell r="G411" t="str">
            <v>บง.วบก.</v>
          </cell>
        </row>
        <row r="412">
          <cell r="B412">
            <v>560062</v>
          </cell>
          <cell r="C412" t="str">
            <v>นาย</v>
          </cell>
          <cell r="E412" t="str">
            <v>กฤษดา</v>
          </cell>
          <cell r="F412" t="str">
            <v>โท๊ะนาบุตร</v>
          </cell>
          <cell r="G412" t="str">
            <v>บง.วบก.</v>
          </cell>
        </row>
        <row r="413">
          <cell r="B413">
            <v>620037</v>
          </cell>
          <cell r="C413" t="str">
            <v>นาย</v>
          </cell>
          <cell r="E413" t="str">
            <v>ชัชวาล</v>
          </cell>
          <cell r="F413" t="str">
            <v>กะการดี</v>
          </cell>
          <cell r="G413" t="str">
            <v>บง.วบก.</v>
          </cell>
        </row>
        <row r="414">
          <cell r="B414">
            <v>650128</v>
          </cell>
          <cell r="C414" t="str">
            <v>นาย</v>
          </cell>
          <cell r="E414" t="str">
            <v>วรัท</v>
          </cell>
          <cell r="F414" t="str">
            <v>ตั้งนรารัชชกิจ</v>
          </cell>
          <cell r="G414" t="str">
            <v>บง.วบก.</v>
          </cell>
        </row>
        <row r="415">
          <cell r="B415">
            <v>480186</v>
          </cell>
          <cell r="C415" t="str">
            <v>นาย</v>
          </cell>
          <cell r="E415" t="str">
            <v>วิฑูรย์</v>
          </cell>
          <cell r="F415" t="str">
            <v>ทิพวงกูล</v>
          </cell>
          <cell r="G415" t="str">
            <v>บง.วบก.</v>
          </cell>
        </row>
        <row r="416">
          <cell r="B416">
            <v>490048</v>
          </cell>
          <cell r="C416" t="str">
            <v>นาย</v>
          </cell>
          <cell r="E416" t="str">
            <v>ศุภฤกษ์</v>
          </cell>
          <cell r="F416" t="str">
            <v>เนคมานุรักษ์</v>
          </cell>
          <cell r="G416" t="str">
            <v>บง.วบก.</v>
          </cell>
        </row>
        <row r="417">
          <cell r="B417">
            <v>540200</v>
          </cell>
          <cell r="C417" t="str">
            <v>นาย</v>
          </cell>
          <cell r="E417" t="str">
            <v>ณรงค์</v>
          </cell>
          <cell r="F417" t="str">
            <v>ขันสาคร</v>
          </cell>
          <cell r="G417" t="str">
            <v>บง.วบก.</v>
          </cell>
        </row>
        <row r="418">
          <cell r="B418">
            <v>640099</v>
          </cell>
          <cell r="C418" t="str">
            <v>นาย</v>
          </cell>
          <cell r="E418" t="str">
            <v>ธรรมสรณ์</v>
          </cell>
          <cell r="F418" t="str">
            <v>โรจนนิรันดร์กิจ</v>
          </cell>
          <cell r="G418" t="str">
            <v>บง.วบก.</v>
          </cell>
        </row>
        <row r="419">
          <cell r="B419">
            <v>550107</v>
          </cell>
          <cell r="C419" t="str">
            <v>นาย</v>
          </cell>
          <cell r="E419" t="str">
            <v>เรวัติ</v>
          </cell>
          <cell r="F419" t="str">
            <v>สมบูรณ์มาก</v>
          </cell>
          <cell r="G419" t="str">
            <v>บง.วบก.</v>
          </cell>
        </row>
        <row r="420">
          <cell r="B420">
            <v>620036</v>
          </cell>
          <cell r="C420" t="str">
            <v>นาย</v>
          </cell>
          <cell r="E420" t="str">
            <v>เกตุศักดา</v>
          </cell>
          <cell r="F420" t="str">
            <v>หวานเหนือ</v>
          </cell>
          <cell r="G420" t="str">
            <v>บง.วบก.</v>
          </cell>
        </row>
        <row r="421">
          <cell r="B421">
            <v>660076</v>
          </cell>
          <cell r="C421" t="str">
            <v>นาย</v>
          </cell>
          <cell r="E421" t="str">
            <v>นนทกรณ์</v>
          </cell>
          <cell r="F421" t="str">
            <v>ภาคนะถา</v>
          </cell>
          <cell r="G421" t="str">
            <v>บง.วบก.</v>
          </cell>
        </row>
        <row r="422">
          <cell r="B422">
            <v>660119</v>
          </cell>
          <cell r="C422" t="str">
            <v>นาย</v>
          </cell>
          <cell r="E422" t="str">
            <v>ภาณุมาศ</v>
          </cell>
          <cell r="F422" t="str">
            <v>ติวารี</v>
          </cell>
          <cell r="G422" t="str">
            <v>บง.วบก.</v>
          </cell>
        </row>
        <row r="423">
          <cell r="B423">
            <v>670053</v>
          </cell>
          <cell r="C423" t="str">
            <v>นาย</v>
          </cell>
          <cell r="E423" t="str">
            <v>ภัทรกร</v>
          </cell>
          <cell r="F423" t="str">
            <v>ต่างประโคน</v>
          </cell>
          <cell r="G423" t="str">
            <v>บง.วบก.</v>
          </cell>
        </row>
        <row r="424">
          <cell r="B424">
            <v>680021</v>
          </cell>
          <cell r="C424" t="str">
            <v>นาย</v>
          </cell>
          <cell r="E424" t="str">
            <v>ธีรกานต์</v>
          </cell>
          <cell r="F424" t="str">
            <v>ภักดีจิตร</v>
          </cell>
          <cell r="G424" t="str">
            <v>บง.วบก.</v>
          </cell>
        </row>
        <row r="425">
          <cell r="B425">
            <v>580078</v>
          </cell>
          <cell r="C425" t="str">
            <v>นาย</v>
          </cell>
          <cell r="E425" t="str">
            <v>อนันทชา</v>
          </cell>
          <cell r="F425" t="str">
            <v>ชาญฉลาด</v>
          </cell>
          <cell r="G425" t="str">
            <v>บง.วบก.</v>
          </cell>
        </row>
        <row r="426">
          <cell r="B426">
            <v>620035</v>
          </cell>
          <cell r="C426" t="str">
            <v>นาย</v>
          </cell>
          <cell r="E426" t="str">
            <v>สุรนาท</v>
          </cell>
          <cell r="F426" t="str">
            <v>ผ่องสุวรรณ์</v>
          </cell>
          <cell r="G426" t="str">
            <v>บง.วบก.</v>
          </cell>
        </row>
        <row r="427">
          <cell r="B427">
            <v>620067</v>
          </cell>
          <cell r="C427" t="str">
            <v>นาย</v>
          </cell>
          <cell r="E427" t="str">
            <v>ประสพโชค</v>
          </cell>
          <cell r="F427" t="str">
            <v>บุญทวี</v>
          </cell>
          <cell r="G427" t="str">
            <v>บง.วบก.</v>
          </cell>
        </row>
        <row r="428">
          <cell r="B428">
            <v>640023</v>
          </cell>
          <cell r="C428" t="str">
            <v>นาย</v>
          </cell>
          <cell r="E428" t="str">
            <v>ปรมัตถ์</v>
          </cell>
          <cell r="F428" t="str">
            <v>กองแก้ว</v>
          </cell>
          <cell r="G428" t="str">
            <v>บง.วบก.</v>
          </cell>
        </row>
        <row r="429">
          <cell r="B429">
            <v>650030</v>
          </cell>
          <cell r="C429" t="str">
            <v>นาย</v>
          </cell>
          <cell r="E429" t="str">
            <v>ธรณ์เทพ</v>
          </cell>
          <cell r="F429" t="str">
            <v>คำรัตน์</v>
          </cell>
          <cell r="G429" t="str">
            <v>บง.วบก.</v>
          </cell>
        </row>
        <row r="430">
          <cell r="B430">
            <v>650079</v>
          </cell>
          <cell r="C430" t="str">
            <v>นาย</v>
          </cell>
          <cell r="E430" t="str">
            <v>วรศักดิ์</v>
          </cell>
          <cell r="F430" t="str">
            <v>แสงโชติ</v>
          </cell>
          <cell r="G430" t="str">
            <v>บง.วบก.</v>
          </cell>
        </row>
        <row r="431">
          <cell r="B431">
            <v>650082</v>
          </cell>
          <cell r="C431" t="str">
            <v>นาย</v>
          </cell>
          <cell r="E431" t="str">
            <v>พัชรพล</v>
          </cell>
          <cell r="F431" t="str">
            <v>ชิยานฤดม</v>
          </cell>
          <cell r="G431" t="str">
            <v>บง.วบก.</v>
          </cell>
        </row>
        <row r="432">
          <cell r="B432">
            <v>660049</v>
          </cell>
          <cell r="C432" t="str">
            <v>นาย</v>
          </cell>
          <cell r="E432" t="str">
            <v>ทวีสิทธิ์</v>
          </cell>
          <cell r="F432" t="str">
            <v>แสงขุรัง</v>
          </cell>
          <cell r="G432" t="str">
            <v>บง.วบก.</v>
          </cell>
        </row>
        <row r="433">
          <cell r="B433">
            <v>660050</v>
          </cell>
          <cell r="C433" t="str">
            <v>นาย</v>
          </cell>
          <cell r="E433" t="str">
            <v>กรกฤช</v>
          </cell>
          <cell r="F433" t="str">
            <v>วงษ์บัณฑิต</v>
          </cell>
          <cell r="G433" t="str">
            <v>บง.วบก.</v>
          </cell>
        </row>
        <row r="434">
          <cell r="B434">
            <v>670127</v>
          </cell>
          <cell r="C434" t="str">
            <v>นาย</v>
          </cell>
          <cell r="E434" t="str">
            <v>เกรียงศักดิ์</v>
          </cell>
          <cell r="F434" t="str">
            <v>ภู่พัฒน์</v>
          </cell>
          <cell r="G434" t="str">
            <v>บง.วบก.</v>
          </cell>
        </row>
        <row r="435">
          <cell r="B435">
            <v>680083</v>
          </cell>
          <cell r="C435" t="str">
            <v>นาย</v>
          </cell>
          <cell r="E435" t="str">
            <v>ณัตพนธิ์</v>
          </cell>
          <cell r="F435" t="str">
            <v>งามเฉลียว</v>
          </cell>
          <cell r="G435" t="str">
            <v>บง.วบก.</v>
          </cell>
        </row>
        <row r="436">
          <cell r="B436">
            <v>450077</v>
          </cell>
          <cell r="C436" t="str">
            <v>นาย</v>
          </cell>
          <cell r="E436" t="str">
            <v>ปาณเศรษฐ์</v>
          </cell>
          <cell r="F436" t="str">
            <v>โสภา</v>
          </cell>
          <cell r="G436" t="str">
            <v>บฟ.วบก.</v>
          </cell>
        </row>
        <row r="437">
          <cell r="B437">
            <v>340019</v>
          </cell>
          <cell r="C437" t="str">
            <v>นาย</v>
          </cell>
          <cell r="E437" t="str">
            <v>ถวิล</v>
          </cell>
          <cell r="F437" t="str">
            <v>ปาปะแพ</v>
          </cell>
          <cell r="G437" t="str">
            <v>บฟ.วบก.</v>
          </cell>
        </row>
        <row r="438">
          <cell r="B438">
            <v>350055</v>
          </cell>
          <cell r="C438" t="str">
            <v>นาย</v>
          </cell>
          <cell r="E438" t="str">
            <v>นิเวศ</v>
          </cell>
          <cell r="F438" t="str">
            <v>พุ่มพวง</v>
          </cell>
          <cell r="G438" t="str">
            <v>บฟ.วบก.</v>
          </cell>
        </row>
        <row r="439">
          <cell r="B439">
            <v>350097</v>
          </cell>
          <cell r="C439" t="str">
            <v>นาย</v>
          </cell>
          <cell r="E439" t="str">
            <v>จารุวัฒน์</v>
          </cell>
          <cell r="F439" t="str">
            <v>คำตาบุตร</v>
          </cell>
          <cell r="G439" t="str">
            <v>บฟ.วบก.</v>
          </cell>
        </row>
        <row r="440">
          <cell r="B440">
            <v>470055</v>
          </cell>
          <cell r="C440" t="str">
            <v>นาย</v>
          </cell>
          <cell r="E440" t="str">
            <v>พรศักดิ์</v>
          </cell>
          <cell r="F440" t="str">
            <v>แสงรัศมีมรกต</v>
          </cell>
          <cell r="G440" t="str">
            <v>บฟ.วบก.</v>
          </cell>
        </row>
        <row r="441">
          <cell r="B441">
            <v>530109</v>
          </cell>
          <cell r="C441" t="str">
            <v>นาย</v>
          </cell>
          <cell r="E441" t="str">
            <v>ฐาปนา</v>
          </cell>
          <cell r="F441" t="str">
            <v>เมฆอรุณกมล</v>
          </cell>
          <cell r="G441" t="str">
            <v>บฟ.วบก.</v>
          </cell>
        </row>
        <row r="442">
          <cell r="B442">
            <v>550166</v>
          </cell>
          <cell r="C442" t="str">
            <v>นาย</v>
          </cell>
          <cell r="E442" t="str">
            <v>วิชิต</v>
          </cell>
          <cell r="F442" t="str">
            <v>บูรณะตันติกุล</v>
          </cell>
          <cell r="G442" t="str">
            <v>บฟ.วบก.</v>
          </cell>
        </row>
        <row r="443">
          <cell r="B443">
            <v>480028</v>
          </cell>
          <cell r="C443" t="str">
            <v>นาย</v>
          </cell>
          <cell r="E443" t="str">
            <v>วัชราวุฒ</v>
          </cell>
          <cell r="F443" t="str">
            <v>ปรีแผ้ว</v>
          </cell>
          <cell r="G443" t="str">
            <v>บฟ.วบก.</v>
          </cell>
        </row>
        <row r="444">
          <cell r="B444">
            <v>480162</v>
          </cell>
          <cell r="C444" t="str">
            <v>นาย</v>
          </cell>
          <cell r="E444" t="str">
            <v>อนันต์</v>
          </cell>
          <cell r="F444" t="str">
            <v>แจ่มจันทร์</v>
          </cell>
          <cell r="G444" t="str">
            <v>บฟ.วบก.</v>
          </cell>
        </row>
        <row r="445">
          <cell r="B445">
            <v>480170</v>
          </cell>
          <cell r="C445" t="str">
            <v>นาย</v>
          </cell>
          <cell r="E445" t="str">
            <v>ณรงค์ศักดิ์</v>
          </cell>
          <cell r="F445" t="str">
            <v>เจียมจันทร์</v>
          </cell>
          <cell r="G445" t="str">
            <v>บฟ.วบก.</v>
          </cell>
        </row>
        <row r="446">
          <cell r="B446">
            <v>420060</v>
          </cell>
          <cell r="C446" t="str">
            <v>นาย</v>
          </cell>
          <cell r="E446" t="str">
            <v>พัฒนพงษ์</v>
          </cell>
          <cell r="F446" t="str">
            <v>กรองสโรชกุล</v>
          </cell>
          <cell r="G446" t="str">
            <v>บฟ.วบก.</v>
          </cell>
        </row>
        <row r="447">
          <cell r="B447">
            <v>480228</v>
          </cell>
          <cell r="C447" t="str">
            <v>นาย</v>
          </cell>
          <cell r="E447" t="str">
            <v>มงคล</v>
          </cell>
          <cell r="F447" t="str">
            <v>ณัฐประเสริฐ</v>
          </cell>
          <cell r="G447" t="str">
            <v>บฟ.วบก.</v>
          </cell>
        </row>
        <row r="448">
          <cell r="B448">
            <v>490022</v>
          </cell>
          <cell r="C448" t="str">
            <v>นาย</v>
          </cell>
          <cell r="E448" t="str">
            <v>อุทัย</v>
          </cell>
          <cell r="F448" t="str">
            <v>บุญจง</v>
          </cell>
          <cell r="G448" t="str">
            <v>บฟ.วบก.</v>
          </cell>
        </row>
        <row r="449">
          <cell r="B449">
            <v>490031</v>
          </cell>
          <cell r="C449" t="str">
            <v>นาย</v>
          </cell>
          <cell r="E449" t="str">
            <v>กอบศักดิ์</v>
          </cell>
          <cell r="F449" t="str">
            <v>แซ่กอ</v>
          </cell>
          <cell r="G449" t="str">
            <v>บฟ.วบก.</v>
          </cell>
        </row>
        <row r="450">
          <cell r="B450">
            <v>490046</v>
          </cell>
          <cell r="C450" t="str">
            <v>นาย</v>
          </cell>
          <cell r="E450" t="str">
            <v>กฤษญานนท์</v>
          </cell>
          <cell r="F450" t="str">
            <v>คำวิชัย</v>
          </cell>
          <cell r="G450" t="str">
            <v>บฟ.วบก.</v>
          </cell>
        </row>
        <row r="451">
          <cell r="B451">
            <v>490173</v>
          </cell>
          <cell r="C451" t="str">
            <v>นาย</v>
          </cell>
          <cell r="E451" t="str">
            <v>ศุภชัย</v>
          </cell>
          <cell r="F451" t="str">
            <v>พันธุ์สา</v>
          </cell>
          <cell r="G451" t="str">
            <v>บฟ.วบก.</v>
          </cell>
        </row>
        <row r="452">
          <cell r="B452">
            <v>530034</v>
          </cell>
          <cell r="C452" t="str">
            <v>นาย</v>
          </cell>
          <cell r="E452" t="str">
            <v>ฉัตรชัย</v>
          </cell>
          <cell r="F452" t="str">
            <v>ห้อยทอง</v>
          </cell>
          <cell r="G452" t="str">
            <v>บฟ.วบก.</v>
          </cell>
        </row>
        <row r="453">
          <cell r="B453">
            <v>550153</v>
          </cell>
          <cell r="C453" t="str">
            <v>นาย</v>
          </cell>
          <cell r="E453" t="str">
            <v>สำราญ</v>
          </cell>
          <cell r="F453" t="str">
            <v>ปิงวัง</v>
          </cell>
          <cell r="G453" t="str">
            <v>บฟ.วบก.</v>
          </cell>
        </row>
        <row r="454">
          <cell r="B454">
            <v>550168</v>
          </cell>
          <cell r="C454" t="str">
            <v>นาย</v>
          </cell>
          <cell r="E454" t="str">
            <v>สุริยพงษ์</v>
          </cell>
          <cell r="F454" t="str">
            <v>ดวงทองพล</v>
          </cell>
          <cell r="G454" t="str">
            <v>บฟ.วบก.</v>
          </cell>
        </row>
        <row r="455">
          <cell r="B455">
            <v>610031</v>
          </cell>
          <cell r="C455" t="str">
            <v>นาย</v>
          </cell>
          <cell r="E455" t="str">
            <v>ชนกนันท์</v>
          </cell>
          <cell r="F455" t="str">
            <v>หอนิรันดร์พงศ์</v>
          </cell>
          <cell r="G455" t="str">
            <v>บฟ.วบก.</v>
          </cell>
        </row>
        <row r="456">
          <cell r="B456">
            <v>640063</v>
          </cell>
          <cell r="C456" t="str">
            <v>นาย</v>
          </cell>
          <cell r="E456" t="str">
            <v>วิชชากร</v>
          </cell>
          <cell r="F456" t="str">
            <v>ชอบชื่นชม</v>
          </cell>
          <cell r="G456" t="str">
            <v>บฟ.วบก.</v>
          </cell>
        </row>
        <row r="457">
          <cell r="B457">
            <v>480199</v>
          </cell>
          <cell r="C457" t="str">
            <v>นาย</v>
          </cell>
          <cell r="E457" t="str">
            <v>สุวัฒน์</v>
          </cell>
          <cell r="F457" t="str">
            <v>จันทร์ปุย</v>
          </cell>
          <cell r="G457" t="str">
            <v>บฟ.วบก.</v>
          </cell>
        </row>
        <row r="458">
          <cell r="B458">
            <v>490050</v>
          </cell>
          <cell r="C458" t="str">
            <v>นาย</v>
          </cell>
          <cell r="E458" t="str">
            <v>สิงหล</v>
          </cell>
          <cell r="F458" t="str">
            <v>ชาญสมร</v>
          </cell>
          <cell r="G458" t="str">
            <v>บฟ.วบก.</v>
          </cell>
        </row>
        <row r="459">
          <cell r="B459">
            <v>600223</v>
          </cell>
          <cell r="C459" t="str">
            <v>นาย</v>
          </cell>
          <cell r="E459" t="str">
            <v>ศิริพงษ์</v>
          </cell>
          <cell r="F459" t="str">
            <v>สุวรรณสมบัติ</v>
          </cell>
          <cell r="G459" t="str">
            <v>บฟ.วบก.</v>
          </cell>
        </row>
        <row r="460">
          <cell r="B460">
            <v>650099</v>
          </cell>
          <cell r="C460" t="str">
            <v>นาย</v>
          </cell>
          <cell r="E460" t="str">
            <v>ฐานันดร</v>
          </cell>
          <cell r="F460" t="str">
            <v>สิทธิบุตร</v>
          </cell>
          <cell r="G460" t="str">
            <v>บฟ.วบก.</v>
          </cell>
        </row>
        <row r="461">
          <cell r="B461">
            <v>660027</v>
          </cell>
          <cell r="C461" t="str">
            <v>นาย</v>
          </cell>
          <cell r="E461" t="str">
            <v>ญาณพล</v>
          </cell>
          <cell r="F461" t="str">
            <v>กิตติคุณธราดล</v>
          </cell>
          <cell r="G461" t="str">
            <v>บฟ.วบก.</v>
          </cell>
        </row>
        <row r="462">
          <cell r="B462">
            <v>490045</v>
          </cell>
          <cell r="C462" t="str">
            <v>นาย</v>
          </cell>
          <cell r="E462" t="str">
            <v>สมพงศ์</v>
          </cell>
          <cell r="F462" t="str">
            <v>หนองน้อย</v>
          </cell>
          <cell r="G462" t="str">
            <v>บฟ.วบก.</v>
          </cell>
        </row>
        <row r="463">
          <cell r="B463">
            <v>670027</v>
          </cell>
          <cell r="C463" t="str">
            <v>นาย</v>
          </cell>
          <cell r="E463" t="str">
            <v>อภิชา</v>
          </cell>
          <cell r="F463" t="str">
            <v>พันธุ์อนุกุล</v>
          </cell>
          <cell r="G463" t="str">
            <v>บฟ.วบก.</v>
          </cell>
        </row>
        <row r="464">
          <cell r="B464">
            <v>680074</v>
          </cell>
          <cell r="C464" t="str">
            <v>นาย</v>
          </cell>
          <cell r="E464" t="str">
            <v>พนรัญชน์</v>
          </cell>
          <cell r="F464" t="str">
            <v>ขอผล</v>
          </cell>
          <cell r="G464" t="str">
            <v>บฟ.วบก.</v>
          </cell>
        </row>
        <row r="465">
          <cell r="B465">
            <v>570124</v>
          </cell>
          <cell r="C465" t="str">
            <v>นาย</v>
          </cell>
          <cell r="E465" t="str">
            <v>ธนวันต์</v>
          </cell>
          <cell r="F465" t="str">
            <v>มณีงาม</v>
          </cell>
          <cell r="G465" t="str">
            <v>บฟ.วบก.</v>
          </cell>
        </row>
        <row r="466">
          <cell r="B466">
            <v>640136</v>
          </cell>
          <cell r="C466" t="str">
            <v>นาย</v>
          </cell>
          <cell r="E466" t="str">
            <v>ไตรเทพ</v>
          </cell>
          <cell r="F466" t="str">
            <v>นวนนบ</v>
          </cell>
          <cell r="G466" t="str">
            <v>บฟ.วบก.</v>
          </cell>
        </row>
        <row r="467">
          <cell r="B467">
            <v>650100</v>
          </cell>
          <cell r="C467" t="str">
            <v>นาย</v>
          </cell>
          <cell r="E467" t="str">
            <v>ชยพล</v>
          </cell>
          <cell r="F467" t="str">
            <v>ทิพวรรณ</v>
          </cell>
          <cell r="G467" t="str">
            <v>บฟ.วบก.</v>
          </cell>
        </row>
        <row r="468">
          <cell r="B468">
            <v>660080</v>
          </cell>
          <cell r="C468" t="str">
            <v>นาย</v>
          </cell>
          <cell r="E468" t="str">
            <v>ศรัณย์</v>
          </cell>
          <cell r="F468" t="str">
            <v>แสงจันทร์</v>
          </cell>
          <cell r="G468" t="str">
            <v>บฟ.วบก.</v>
          </cell>
        </row>
        <row r="469">
          <cell r="B469">
            <v>670069</v>
          </cell>
          <cell r="C469" t="str">
            <v>นาย</v>
          </cell>
          <cell r="E469" t="str">
            <v>กชภณ</v>
          </cell>
          <cell r="F469" t="str">
            <v>ทองโชติ</v>
          </cell>
          <cell r="G469" t="str">
            <v>บฟ.วบก.</v>
          </cell>
        </row>
        <row r="470">
          <cell r="B470">
            <v>450037</v>
          </cell>
          <cell r="C470" t="str">
            <v>นาย</v>
          </cell>
          <cell r="E470" t="str">
            <v>กรภัทร</v>
          </cell>
          <cell r="F470" t="str">
            <v>เลาหกุลวุฒิ</v>
          </cell>
          <cell r="G470" t="str">
            <v>บค.วบก.</v>
          </cell>
        </row>
        <row r="471">
          <cell r="B471">
            <v>540227</v>
          </cell>
          <cell r="C471" t="str">
            <v>นาย</v>
          </cell>
          <cell r="E471" t="str">
            <v>คามิน</v>
          </cell>
          <cell r="F471" t="str">
            <v>ปิยะกมลนิรันดร์</v>
          </cell>
          <cell r="G471" t="str">
            <v>บค.วบก.</v>
          </cell>
        </row>
        <row r="472">
          <cell r="B472">
            <v>330076</v>
          </cell>
          <cell r="C472" t="str">
            <v>นาย</v>
          </cell>
          <cell r="E472" t="str">
            <v>ดำรงค์</v>
          </cell>
          <cell r="F472" t="str">
            <v>คงสมบูรณ์</v>
          </cell>
          <cell r="G472" t="str">
            <v>บค.วบก.</v>
          </cell>
        </row>
        <row r="473">
          <cell r="B473">
            <v>330078</v>
          </cell>
          <cell r="C473" t="str">
            <v>นาย</v>
          </cell>
          <cell r="E473" t="str">
            <v>ปรีชา</v>
          </cell>
          <cell r="F473" t="str">
            <v>ตระกูลรัมย์</v>
          </cell>
          <cell r="G473" t="str">
            <v>บค.วบก.</v>
          </cell>
        </row>
        <row r="474">
          <cell r="B474">
            <v>340016</v>
          </cell>
          <cell r="C474" t="str">
            <v>นาย</v>
          </cell>
          <cell r="E474" t="str">
            <v>นที</v>
          </cell>
          <cell r="F474" t="str">
            <v>กนิษฐสุนทร</v>
          </cell>
          <cell r="G474" t="str">
            <v>บค.วบก.</v>
          </cell>
        </row>
        <row r="475">
          <cell r="B475">
            <v>410008</v>
          </cell>
          <cell r="C475" t="str">
            <v>นาย</v>
          </cell>
          <cell r="E475" t="str">
            <v>ปิยะ</v>
          </cell>
          <cell r="F475" t="str">
            <v>เงินกระโทก</v>
          </cell>
          <cell r="G475" t="str">
            <v>บค.วบก.</v>
          </cell>
        </row>
        <row r="476">
          <cell r="B476">
            <v>530123</v>
          </cell>
          <cell r="C476" t="str">
            <v>นาย</v>
          </cell>
          <cell r="E476" t="str">
            <v>ชัยสิทธิ์</v>
          </cell>
          <cell r="F476" t="str">
            <v>วลีสุขสันต์</v>
          </cell>
          <cell r="G476" t="str">
            <v>บค.วบก.</v>
          </cell>
        </row>
        <row r="477">
          <cell r="B477">
            <v>560303</v>
          </cell>
          <cell r="C477" t="str">
            <v>นาย</v>
          </cell>
          <cell r="E477" t="str">
            <v>อรรณพ</v>
          </cell>
          <cell r="F477" t="str">
            <v>ศรีสารสกุล</v>
          </cell>
          <cell r="G477" t="str">
            <v>บค.วบก.</v>
          </cell>
        </row>
        <row r="478">
          <cell r="B478">
            <v>570125</v>
          </cell>
          <cell r="C478" t="str">
            <v>นาย</v>
          </cell>
          <cell r="E478" t="str">
            <v>ภาณุพงศ์</v>
          </cell>
          <cell r="F478" t="str">
            <v>เรืองเกษม</v>
          </cell>
          <cell r="G478" t="str">
            <v>บค.วบก.</v>
          </cell>
        </row>
        <row r="479">
          <cell r="B479">
            <v>470007</v>
          </cell>
          <cell r="C479" t="str">
            <v>นาย</v>
          </cell>
          <cell r="E479" t="str">
            <v>สุนทร</v>
          </cell>
          <cell r="F479" t="str">
            <v>ฤทธิ์คำรพ</v>
          </cell>
          <cell r="G479" t="str">
            <v>บค.วบก.</v>
          </cell>
        </row>
        <row r="480">
          <cell r="B480">
            <v>480193</v>
          </cell>
          <cell r="C480" t="str">
            <v>นาย</v>
          </cell>
          <cell r="E480" t="str">
            <v>อนุวัฒน์</v>
          </cell>
          <cell r="F480" t="str">
            <v>โดดสู้</v>
          </cell>
          <cell r="G480" t="str">
            <v>บค.วบก.</v>
          </cell>
        </row>
        <row r="481">
          <cell r="B481">
            <v>480224</v>
          </cell>
          <cell r="C481" t="str">
            <v>นาย</v>
          </cell>
          <cell r="E481" t="str">
            <v>นพดล</v>
          </cell>
          <cell r="F481" t="str">
            <v>คชรินทร์</v>
          </cell>
          <cell r="G481" t="str">
            <v>บค.วบก.</v>
          </cell>
        </row>
        <row r="482">
          <cell r="B482">
            <v>480245</v>
          </cell>
          <cell r="C482" t="str">
            <v>นาย</v>
          </cell>
          <cell r="E482" t="str">
            <v>ทนงศักดิ์</v>
          </cell>
          <cell r="F482" t="str">
            <v>โอชะกุล</v>
          </cell>
          <cell r="G482" t="str">
            <v>บค.วบก.</v>
          </cell>
        </row>
        <row r="483">
          <cell r="B483">
            <v>470040</v>
          </cell>
          <cell r="C483" t="str">
            <v>นาย</v>
          </cell>
          <cell r="E483" t="str">
            <v>ศราวุธ</v>
          </cell>
          <cell r="F483" t="str">
            <v>สุขเจริญ</v>
          </cell>
          <cell r="G483" t="str">
            <v>บค.วบก.</v>
          </cell>
        </row>
        <row r="484">
          <cell r="B484">
            <v>480049</v>
          </cell>
          <cell r="C484" t="str">
            <v>นาย</v>
          </cell>
          <cell r="E484" t="str">
            <v>จิรพงศ์</v>
          </cell>
          <cell r="F484" t="str">
            <v>รู้แนบเนียน</v>
          </cell>
          <cell r="G484" t="str">
            <v>บค.วบก.</v>
          </cell>
        </row>
        <row r="485">
          <cell r="B485">
            <v>480165</v>
          </cell>
          <cell r="C485" t="str">
            <v>นาย</v>
          </cell>
          <cell r="E485" t="str">
            <v>พิทินันท์</v>
          </cell>
          <cell r="F485" t="str">
            <v>ทองอินทร์</v>
          </cell>
          <cell r="G485" t="str">
            <v>บค.วบก.</v>
          </cell>
        </row>
        <row r="486">
          <cell r="B486">
            <v>490024</v>
          </cell>
          <cell r="C486" t="str">
            <v>นาย</v>
          </cell>
          <cell r="E486" t="str">
            <v>อุทัย</v>
          </cell>
          <cell r="F486" t="str">
            <v>วงค์ชาลี</v>
          </cell>
          <cell r="G486" t="str">
            <v>บค.วบก.</v>
          </cell>
        </row>
        <row r="487">
          <cell r="B487">
            <v>490038</v>
          </cell>
          <cell r="C487" t="str">
            <v>นาย</v>
          </cell>
          <cell r="E487" t="str">
            <v>เอกชัย</v>
          </cell>
          <cell r="F487" t="str">
            <v>วงศ์รู้การ</v>
          </cell>
          <cell r="G487" t="str">
            <v>บค.วบก.</v>
          </cell>
        </row>
        <row r="488">
          <cell r="B488">
            <v>550089</v>
          </cell>
          <cell r="C488" t="str">
            <v>นาย</v>
          </cell>
          <cell r="E488" t="str">
            <v>ศิริพงษ์</v>
          </cell>
          <cell r="F488" t="str">
            <v>พะนิรัมย์</v>
          </cell>
          <cell r="G488" t="str">
            <v>บค.วบก.</v>
          </cell>
        </row>
        <row r="489">
          <cell r="B489">
            <v>550190</v>
          </cell>
          <cell r="C489" t="str">
            <v>นาย</v>
          </cell>
          <cell r="E489" t="str">
            <v>พรหมพจ</v>
          </cell>
          <cell r="F489" t="str">
            <v>วงษ์สวัสดิ์</v>
          </cell>
          <cell r="G489" t="str">
            <v>บค.วบก.</v>
          </cell>
        </row>
        <row r="490">
          <cell r="B490">
            <v>620004</v>
          </cell>
          <cell r="C490" t="str">
            <v>นาย</v>
          </cell>
          <cell r="E490" t="str">
            <v>ปรเมธ</v>
          </cell>
          <cell r="F490" t="str">
            <v>สุขหอม</v>
          </cell>
          <cell r="G490" t="str">
            <v>บค.วบก.</v>
          </cell>
        </row>
        <row r="491">
          <cell r="B491">
            <v>630034</v>
          </cell>
          <cell r="C491" t="str">
            <v>นาย</v>
          </cell>
          <cell r="E491" t="str">
            <v>เจษฎา</v>
          </cell>
          <cell r="F491" t="str">
            <v>สุทาเทพ</v>
          </cell>
          <cell r="G491" t="str">
            <v>บค.วบก.</v>
          </cell>
        </row>
        <row r="492">
          <cell r="B492">
            <v>480176</v>
          </cell>
          <cell r="C492" t="str">
            <v>นาย</v>
          </cell>
          <cell r="E492" t="str">
            <v>ชนทัต</v>
          </cell>
          <cell r="F492" t="str">
            <v>สหะวงศ์วัฒนา</v>
          </cell>
          <cell r="G492" t="str">
            <v>บค.วบก.</v>
          </cell>
        </row>
        <row r="493">
          <cell r="B493">
            <v>480239</v>
          </cell>
          <cell r="C493" t="str">
            <v>นาย</v>
          </cell>
          <cell r="E493" t="str">
            <v>มานิตย์</v>
          </cell>
          <cell r="F493" t="str">
            <v>อารีผล</v>
          </cell>
          <cell r="G493" t="str">
            <v>บค.วบก.</v>
          </cell>
        </row>
        <row r="494">
          <cell r="B494">
            <v>490025</v>
          </cell>
          <cell r="C494" t="str">
            <v>นาย</v>
          </cell>
          <cell r="E494" t="str">
            <v>เอกราช</v>
          </cell>
          <cell r="F494" t="str">
            <v>ดีประเสริฐชัยกุล</v>
          </cell>
          <cell r="G494" t="str">
            <v>บค.วบก.</v>
          </cell>
        </row>
        <row r="495">
          <cell r="B495">
            <v>550191</v>
          </cell>
          <cell r="C495" t="str">
            <v>นาย</v>
          </cell>
          <cell r="E495" t="str">
            <v>ณัฐชา</v>
          </cell>
          <cell r="F495" t="str">
            <v>หรณพ</v>
          </cell>
          <cell r="G495" t="str">
            <v>บค.วบก.</v>
          </cell>
        </row>
        <row r="496">
          <cell r="B496">
            <v>590063</v>
          </cell>
          <cell r="C496" t="str">
            <v>นาย</v>
          </cell>
          <cell r="E496" t="str">
            <v>พิชญา</v>
          </cell>
          <cell r="F496" t="str">
            <v>สกุลมาก</v>
          </cell>
          <cell r="G496" t="str">
            <v>บค.วบก.</v>
          </cell>
        </row>
        <row r="497">
          <cell r="B497">
            <v>590085</v>
          </cell>
          <cell r="C497" t="str">
            <v>นาย</v>
          </cell>
          <cell r="E497" t="str">
            <v>เสกข์สิริ</v>
          </cell>
          <cell r="F497" t="str">
            <v>เรียงทองหลาง</v>
          </cell>
          <cell r="G497" t="str">
            <v>บค.วบก.</v>
          </cell>
        </row>
        <row r="498">
          <cell r="B498">
            <v>640025</v>
          </cell>
          <cell r="C498" t="str">
            <v>นาย</v>
          </cell>
          <cell r="E498" t="str">
            <v>นิธิศ</v>
          </cell>
          <cell r="F498" t="str">
            <v>พุทธิ</v>
          </cell>
          <cell r="G498" t="str">
            <v>บค.วบก.</v>
          </cell>
        </row>
        <row r="499">
          <cell r="B499">
            <v>640131</v>
          </cell>
          <cell r="C499" t="str">
            <v>นาย</v>
          </cell>
          <cell r="E499" t="str">
            <v>อธิศ</v>
          </cell>
          <cell r="F499" t="str">
            <v>คงสำราญ</v>
          </cell>
          <cell r="G499" t="str">
            <v>บค.วบก.</v>
          </cell>
        </row>
        <row r="500">
          <cell r="B500">
            <v>640132</v>
          </cell>
          <cell r="C500" t="str">
            <v>นาย</v>
          </cell>
          <cell r="E500" t="str">
            <v>นนทกร</v>
          </cell>
          <cell r="F500" t="str">
            <v>บุญยืน</v>
          </cell>
          <cell r="G500" t="str">
            <v>บค.วบก.</v>
          </cell>
        </row>
        <row r="501">
          <cell r="B501">
            <v>670100</v>
          </cell>
          <cell r="C501" t="str">
            <v>นาย</v>
          </cell>
          <cell r="E501" t="str">
            <v>พัฒนรัฐ</v>
          </cell>
          <cell r="F501" t="str">
            <v>ณ นคร</v>
          </cell>
          <cell r="G501" t="str">
            <v>บค.วบก.</v>
          </cell>
        </row>
        <row r="502">
          <cell r="B502">
            <v>670101</v>
          </cell>
          <cell r="C502" t="str">
            <v>นาย</v>
          </cell>
          <cell r="E502" t="str">
            <v>ภัทรพล</v>
          </cell>
          <cell r="F502" t="str">
            <v>เนตรสว่าง</v>
          </cell>
          <cell r="G502" t="str">
            <v>บค.วบก.</v>
          </cell>
        </row>
        <row r="503">
          <cell r="B503">
            <v>650078</v>
          </cell>
          <cell r="C503" t="str">
            <v>นาย</v>
          </cell>
          <cell r="E503" t="str">
            <v>วรเมธ</v>
          </cell>
          <cell r="F503" t="str">
            <v>ประกอบสุข</v>
          </cell>
          <cell r="G503" t="str">
            <v>บค.วบก.</v>
          </cell>
        </row>
        <row r="504">
          <cell r="B504">
            <v>670061</v>
          </cell>
          <cell r="C504" t="str">
            <v>นาย</v>
          </cell>
          <cell r="E504" t="str">
            <v>จาตุรนต์</v>
          </cell>
          <cell r="F504" t="str">
            <v>มีสี</v>
          </cell>
          <cell r="G504" t="str">
            <v>บค.วบก.</v>
          </cell>
        </row>
        <row r="505">
          <cell r="B505">
            <v>670062</v>
          </cell>
          <cell r="C505" t="str">
            <v>นาย</v>
          </cell>
          <cell r="E505" t="str">
            <v>ศตวรรษ</v>
          </cell>
          <cell r="F505" t="str">
            <v>เป็งน้อย</v>
          </cell>
          <cell r="G505" t="str">
            <v>บค.วบก.</v>
          </cell>
        </row>
        <row r="506">
          <cell r="B506">
            <v>680044</v>
          </cell>
          <cell r="C506" t="str">
            <v>นาย</v>
          </cell>
          <cell r="E506" t="str">
            <v>กิตติภพ</v>
          </cell>
          <cell r="F506" t="str">
            <v>ไพบูลย์</v>
          </cell>
          <cell r="G506" t="str">
            <v>บค.วบก.</v>
          </cell>
        </row>
        <row r="507">
          <cell r="B507">
            <v>680045</v>
          </cell>
          <cell r="C507" t="str">
            <v>นาย</v>
          </cell>
          <cell r="E507" t="str">
            <v>พีรวิชญ์</v>
          </cell>
          <cell r="F507" t="str">
            <v>อินทร์ศิริ</v>
          </cell>
          <cell r="G507" t="str">
            <v>บค.วบก.</v>
          </cell>
        </row>
        <row r="508">
          <cell r="B508">
            <v>680102</v>
          </cell>
          <cell r="C508" t="str">
            <v>นาย</v>
          </cell>
          <cell r="E508" t="str">
            <v>อติราช</v>
          </cell>
          <cell r="F508" t="str">
            <v>ชั้นแก้ว</v>
          </cell>
          <cell r="G508" t="str">
            <v>บค.วบก.</v>
          </cell>
        </row>
        <row r="509">
          <cell r="B509">
            <v>490195</v>
          </cell>
          <cell r="C509" t="str">
            <v>นาย</v>
          </cell>
          <cell r="E509" t="str">
            <v>สุพิชณ์</v>
          </cell>
          <cell r="F509" t="str">
            <v>เธียรเมธาวุฒิ</v>
          </cell>
          <cell r="G509" t="str">
            <v>ตร.วบก.</v>
          </cell>
        </row>
        <row r="510">
          <cell r="B510">
            <v>540228</v>
          </cell>
          <cell r="C510" t="str">
            <v>นาย</v>
          </cell>
          <cell r="E510" t="str">
            <v>จิตรดิลก</v>
          </cell>
          <cell r="F510" t="str">
            <v>ประสิทธิ์เสริฐ</v>
          </cell>
          <cell r="G510" t="str">
            <v>ตร.วบก.</v>
          </cell>
        </row>
        <row r="511">
          <cell r="B511">
            <v>490233</v>
          </cell>
          <cell r="C511" t="str">
            <v>นาย</v>
          </cell>
          <cell r="E511" t="str">
            <v>อภิชา</v>
          </cell>
          <cell r="F511" t="str">
            <v>อมรกุลพิทยา</v>
          </cell>
          <cell r="G511" t="str">
            <v>ตร.วบก.</v>
          </cell>
        </row>
        <row r="512">
          <cell r="B512">
            <v>580194</v>
          </cell>
          <cell r="C512" t="str">
            <v>นาย</v>
          </cell>
          <cell r="E512" t="str">
            <v>คณพล</v>
          </cell>
          <cell r="F512" t="str">
            <v>หมื่นไกรทอง</v>
          </cell>
          <cell r="G512" t="str">
            <v>ตร.วบก.</v>
          </cell>
        </row>
        <row r="513">
          <cell r="B513">
            <v>490007</v>
          </cell>
          <cell r="C513" t="str">
            <v>นาย</v>
          </cell>
          <cell r="E513" t="str">
            <v>สมเกียรติ์</v>
          </cell>
          <cell r="F513" t="str">
            <v>เพ็ญศรี</v>
          </cell>
          <cell r="G513" t="str">
            <v>ตร.วบก.</v>
          </cell>
        </row>
        <row r="514">
          <cell r="B514">
            <v>490033</v>
          </cell>
          <cell r="C514" t="str">
            <v>นาย</v>
          </cell>
          <cell r="E514" t="str">
            <v>ณัฐพล</v>
          </cell>
          <cell r="F514" t="str">
            <v>สถิตย์กุล</v>
          </cell>
          <cell r="G514" t="str">
            <v>ตร.วบก.</v>
          </cell>
        </row>
        <row r="515">
          <cell r="B515">
            <v>550052</v>
          </cell>
          <cell r="C515" t="str">
            <v>นาย</v>
          </cell>
          <cell r="E515" t="str">
            <v>ศรัณย์</v>
          </cell>
          <cell r="F515" t="str">
            <v>ใจเอื้อ</v>
          </cell>
          <cell r="G515" t="str">
            <v>ตร.วบก.</v>
          </cell>
        </row>
        <row r="516">
          <cell r="B516">
            <v>490006</v>
          </cell>
          <cell r="C516" t="str">
            <v>นาย</v>
          </cell>
          <cell r="E516" t="str">
            <v>เทียนทอง</v>
          </cell>
          <cell r="F516" t="str">
            <v>คุณสมบัติ</v>
          </cell>
          <cell r="G516" t="str">
            <v>ตร.วบก.</v>
          </cell>
        </row>
        <row r="517">
          <cell r="B517">
            <v>600052</v>
          </cell>
          <cell r="C517" t="str">
            <v>นาย</v>
          </cell>
          <cell r="E517" t="str">
            <v>ธนพนธ์</v>
          </cell>
          <cell r="F517" t="str">
            <v>สุขเกษม</v>
          </cell>
          <cell r="G517" t="str">
            <v>ตร.วบก.</v>
          </cell>
        </row>
        <row r="518">
          <cell r="B518">
            <v>640120</v>
          </cell>
          <cell r="C518" t="str">
            <v>น.ส.</v>
          </cell>
          <cell r="E518" t="str">
            <v>ศิศิรา</v>
          </cell>
          <cell r="F518" t="str">
            <v>ใจมั่น</v>
          </cell>
          <cell r="G518" t="str">
            <v>ตร.วบก.</v>
          </cell>
        </row>
        <row r="519">
          <cell r="B519">
            <v>540250</v>
          </cell>
          <cell r="C519" t="str">
            <v>นาย</v>
          </cell>
          <cell r="E519" t="str">
            <v>วิศรุต</v>
          </cell>
          <cell r="F519" t="str">
            <v>อินบัว</v>
          </cell>
          <cell r="G519" t="str">
            <v>ตร.วบก.</v>
          </cell>
        </row>
        <row r="520">
          <cell r="B520">
            <v>600096</v>
          </cell>
          <cell r="C520" t="str">
            <v>นาย</v>
          </cell>
          <cell r="E520" t="str">
            <v>เมธา</v>
          </cell>
          <cell r="F520" t="str">
            <v>ศรีแก่นแก้ว</v>
          </cell>
          <cell r="G520" t="str">
            <v>ตร.วบก.</v>
          </cell>
        </row>
        <row r="521">
          <cell r="B521">
            <v>660075</v>
          </cell>
          <cell r="C521" t="str">
            <v>นาย</v>
          </cell>
          <cell r="E521" t="str">
            <v>บริพัตร</v>
          </cell>
          <cell r="F521" t="str">
            <v>อุบลประเสริฐ</v>
          </cell>
          <cell r="G521" t="str">
            <v>ตร.วบก.</v>
          </cell>
        </row>
        <row r="522">
          <cell r="B522">
            <v>660120</v>
          </cell>
          <cell r="C522" t="str">
            <v>นาย</v>
          </cell>
          <cell r="E522" t="str">
            <v>กติกา</v>
          </cell>
          <cell r="F522" t="str">
            <v>จันธิมา</v>
          </cell>
          <cell r="G522" t="str">
            <v>ตร.วบก.</v>
          </cell>
        </row>
        <row r="523">
          <cell r="B523">
            <v>490119</v>
          </cell>
          <cell r="C523" t="str">
            <v>นาย</v>
          </cell>
          <cell r="E523" t="str">
            <v>สุทธิกิจ</v>
          </cell>
          <cell r="F523" t="str">
            <v>ตันสุคตานนท์</v>
          </cell>
          <cell r="G523" t="str">
            <v>ซญ.วบก.</v>
          </cell>
        </row>
        <row r="524">
          <cell r="B524">
            <v>530047</v>
          </cell>
          <cell r="C524" t="str">
            <v>นาย</v>
          </cell>
          <cell r="E524" t="str">
            <v>ปริญญา</v>
          </cell>
          <cell r="F524" t="str">
            <v>กาบอ้อย</v>
          </cell>
          <cell r="G524" t="str">
            <v>ซญ.วบก.</v>
          </cell>
        </row>
        <row r="525">
          <cell r="B525">
            <v>580188</v>
          </cell>
          <cell r="C525" t="str">
            <v>นาย</v>
          </cell>
          <cell r="E525" t="str">
            <v>ธนพนธ์</v>
          </cell>
          <cell r="F525" t="str">
            <v>วิสารทกุล</v>
          </cell>
          <cell r="G525" t="str">
            <v>ซญ.วบก.</v>
          </cell>
        </row>
        <row r="526">
          <cell r="B526">
            <v>650031</v>
          </cell>
          <cell r="C526" t="str">
            <v>นาย</v>
          </cell>
          <cell r="E526" t="str">
            <v>กฤษฎา</v>
          </cell>
          <cell r="F526" t="str">
            <v>ไสยสุข</v>
          </cell>
          <cell r="G526" t="str">
            <v>ซญ.วบก.</v>
          </cell>
        </row>
        <row r="527">
          <cell r="B527">
            <v>660074</v>
          </cell>
          <cell r="C527" t="str">
            <v>นาย</v>
          </cell>
          <cell r="E527" t="str">
            <v>ดนัย</v>
          </cell>
          <cell r="F527" t="str">
            <v>เผือกผ่อง</v>
          </cell>
          <cell r="G527" t="str">
            <v>ซญ.วบก.</v>
          </cell>
        </row>
        <row r="528">
          <cell r="B528">
            <v>680101</v>
          </cell>
          <cell r="C528" t="str">
            <v>นาย</v>
          </cell>
          <cell r="E528" t="str">
            <v>วสุวัฒน์</v>
          </cell>
          <cell r="F528" t="str">
            <v>กาญจนศร</v>
          </cell>
          <cell r="G528" t="str">
            <v>ซญ.วบก.</v>
          </cell>
        </row>
        <row r="529">
          <cell r="B529">
            <v>390173</v>
          </cell>
          <cell r="C529" t="str">
            <v>น.ส.</v>
          </cell>
          <cell r="E529" t="str">
            <v>นงลักษณ์</v>
          </cell>
          <cell r="F529" t="str">
            <v>พินิจนิยม</v>
          </cell>
          <cell r="G529" t="str">
            <v>ทผก.</v>
          </cell>
        </row>
        <row r="530">
          <cell r="B530">
            <v>460016</v>
          </cell>
          <cell r="C530" t="str">
            <v>นาย</v>
          </cell>
          <cell r="E530" t="str">
            <v>ชวุตม์</v>
          </cell>
          <cell r="F530" t="str">
            <v>วุฒิศิริ</v>
          </cell>
          <cell r="G530" t="str">
            <v>บป.ทผก.</v>
          </cell>
        </row>
        <row r="531">
          <cell r="B531">
            <v>550238</v>
          </cell>
          <cell r="C531" t="str">
            <v>น.ส.</v>
          </cell>
          <cell r="E531" t="str">
            <v>จิณัฐตา</v>
          </cell>
          <cell r="F531" t="str">
            <v>หุตะจูฑะ</v>
          </cell>
          <cell r="G531" t="str">
            <v>บป.ทผก.</v>
          </cell>
        </row>
        <row r="532">
          <cell r="B532">
            <v>560113</v>
          </cell>
          <cell r="C532" t="str">
            <v>นาย</v>
          </cell>
          <cell r="E532" t="str">
            <v>ปิติ</v>
          </cell>
          <cell r="F532" t="str">
            <v>ภู่พัฒนกูล</v>
          </cell>
          <cell r="G532" t="str">
            <v>บป.ทผก.</v>
          </cell>
        </row>
        <row r="533">
          <cell r="B533">
            <v>580310</v>
          </cell>
          <cell r="C533" t="str">
            <v>น.ส.</v>
          </cell>
          <cell r="E533" t="str">
            <v>ณัฐวนิช</v>
          </cell>
          <cell r="F533" t="str">
            <v>เท่งเจียว</v>
          </cell>
          <cell r="G533" t="str">
            <v>บป.ทผก.</v>
          </cell>
        </row>
        <row r="534">
          <cell r="B534">
            <v>620074</v>
          </cell>
          <cell r="C534" t="str">
            <v>น.ส.</v>
          </cell>
          <cell r="E534" t="str">
            <v>ฐิตวันต์</v>
          </cell>
          <cell r="F534" t="str">
            <v>ทาวงษ์</v>
          </cell>
          <cell r="G534" t="str">
            <v>บป.ทผก.</v>
          </cell>
        </row>
        <row r="535">
          <cell r="B535">
            <v>680064</v>
          </cell>
          <cell r="C535" t="str">
            <v>น.ส.</v>
          </cell>
          <cell r="E535" t="str">
            <v>สิตราทิพย์</v>
          </cell>
          <cell r="F535" t="str">
            <v>บุญเรือง</v>
          </cell>
          <cell r="G535" t="str">
            <v>บป.ทผก.</v>
          </cell>
        </row>
        <row r="536">
          <cell r="B536">
            <v>520164</v>
          </cell>
          <cell r="C536" t="str">
            <v>นาย</v>
          </cell>
          <cell r="E536" t="str">
            <v>ธีรภัทร</v>
          </cell>
          <cell r="F536" t="str">
            <v>รัตนสุวรรณ</v>
          </cell>
          <cell r="G536" t="str">
            <v>วผ.ทผก.</v>
          </cell>
        </row>
        <row r="537">
          <cell r="B537">
            <v>550335</v>
          </cell>
          <cell r="C537" t="str">
            <v>นาย</v>
          </cell>
          <cell r="E537" t="str">
            <v>สุรกาญจน์</v>
          </cell>
          <cell r="F537" t="str">
            <v>กล่อมขาว</v>
          </cell>
          <cell r="G537" t="str">
            <v>วผ.ทผก.</v>
          </cell>
        </row>
        <row r="538">
          <cell r="B538">
            <v>580242</v>
          </cell>
          <cell r="C538" t="str">
            <v>นาย</v>
          </cell>
          <cell r="E538" t="str">
            <v>ธัญญะ</v>
          </cell>
          <cell r="F538" t="str">
            <v>จักรวาฬนรสิงห์</v>
          </cell>
          <cell r="G538" t="str">
            <v>วผ.ทผก.</v>
          </cell>
        </row>
        <row r="539">
          <cell r="B539">
            <v>600053</v>
          </cell>
          <cell r="C539" t="str">
            <v>นาย</v>
          </cell>
          <cell r="E539" t="str">
            <v>กมลนัทธ์</v>
          </cell>
          <cell r="F539" t="str">
            <v>ห่างภัย</v>
          </cell>
          <cell r="G539" t="str">
            <v>วผ.ทผก.</v>
          </cell>
        </row>
        <row r="540">
          <cell r="B540">
            <v>600122</v>
          </cell>
          <cell r="C540" t="str">
            <v>นาย</v>
          </cell>
          <cell r="E540" t="str">
            <v>ภูมิพงศ์</v>
          </cell>
          <cell r="F540" t="str">
            <v>ราชรักษ์</v>
          </cell>
          <cell r="G540" t="str">
            <v>วผ.ทผก.</v>
          </cell>
        </row>
        <row r="541">
          <cell r="B541">
            <v>610040</v>
          </cell>
          <cell r="C541" t="str">
            <v>นาย</v>
          </cell>
          <cell r="E541" t="str">
            <v>ภานุวัฒน์</v>
          </cell>
          <cell r="F541" t="str">
            <v>โต๊ะสกุล</v>
          </cell>
          <cell r="G541" t="str">
            <v>วผ.ทผก.</v>
          </cell>
        </row>
        <row r="542">
          <cell r="B542">
            <v>600248</v>
          </cell>
          <cell r="C542" t="str">
            <v>น.ส.</v>
          </cell>
          <cell r="E542" t="str">
            <v>กัลยรัตน์</v>
          </cell>
          <cell r="F542" t="str">
            <v>ตันติเหตุ</v>
          </cell>
          <cell r="G542" t="str">
            <v>วผ.ทผก.</v>
          </cell>
        </row>
        <row r="543">
          <cell r="B543">
            <v>610211</v>
          </cell>
          <cell r="C543" t="str">
            <v>นาย</v>
          </cell>
          <cell r="E543" t="str">
            <v>ทศพล</v>
          </cell>
          <cell r="F543" t="str">
            <v>ปานสัสดี</v>
          </cell>
          <cell r="G543" t="str">
            <v>วผ.ทผก.</v>
          </cell>
        </row>
        <row r="544">
          <cell r="B544">
            <v>630026</v>
          </cell>
          <cell r="C544" t="str">
            <v>นาย</v>
          </cell>
          <cell r="E544" t="str">
            <v>วรธร</v>
          </cell>
          <cell r="F544" t="str">
            <v>เจริญสุข</v>
          </cell>
          <cell r="G544" t="str">
            <v>วผ.ทผก.</v>
          </cell>
        </row>
        <row r="545">
          <cell r="B545">
            <v>650043</v>
          </cell>
          <cell r="C545" t="str">
            <v>น.ส.</v>
          </cell>
          <cell r="E545" t="str">
            <v>วศินี</v>
          </cell>
          <cell r="F545" t="str">
            <v>ยงชัยสิทธิ์</v>
          </cell>
          <cell r="G545" t="str">
            <v>วผ.ทผก.</v>
          </cell>
        </row>
        <row r="546">
          <cell r="B546">
            <v>680068</v>
          </cell>
          <cell r="C546" t="str">
            <v>นาย</v>
          </cell>
          <cell r="E546" t="str">
            <v>บุณยสิฐ</v>
          </cell>
          <cell r="F546" t="str">
            <v>ฝาคำ</v>
          </cell>
          <cell r="G546" t="str">
            <v>วผ.ทผก.</v>
          </cell>
        </row>
        <row r="547">
          <cell r="B547">
            <v>490090</v>
          </cell>
          <cell r="C547" t="str">
            <v>น.ส.</v>
          </cell>
          <cell r="E547" t="str">
            <v>นลินี</v>
          </cell>
          <cell r="F547" t="str">
            <v>ตัณฑิกุล</v>
          </cell>
          <cell r="G547" t="str">
            <v>คพ.ทผก.</v>
          </cell>
        </row>
        <row r="548">
          <cell r="B548">
            <v>350065</v>
          </cell>
          <cell r="C548" t="str">
            <v>นาง</v>
          </cell>
          <cell r="E548" t="str">
            <v>ดารา</v>
          </cell>
          <cell r="F548" t="str">
            <v>ธนกุลบดี</v>
          </cell>
          <cell r="G548" t="str">
            <v>คพ.ทผก.</v>
          </cell>
        </row>
        <row r="549">
          <cell r="B549">
            <v>480126</v>
          </cell>
          <cell r="C549" t="str">
            <v>นาย</v>
          </cell>
          <cell r="E549" t="str">
            <v>เอกชัย</v>
          </cell>
          <cell r="F549" t="str">
            <v>พันธ์ทอง</v>
          </cell>
          <cell r="G549" t="str">
            <v>คพ.ทผก.</v>
          </cell>
        </row>
        <row r="550">
          <cell r="B550">
            <v>540322</v>
          </cell>
          <cell r="C550" t="str">
            <v>น.ส.</v>
          </cell>
          <cell r="E550" t="str">
            <v>ณัฐกานต์</v>
          </cell>
          <cell r="F550" t="str">
            <v>อำภารักษ์</v>
          </cell>
          <cell r="G550" t="str">
            <v>คพ.ทผก.</v>
          </cell>
        </row>
        <row r="551">
          <cell r="B551">
            <v>490148</v>
          </cell>
          <cell r="C551" t="str">
            <v>น.ส.</v>
          </cell>
          <cell r="E551" t="str">
            <v>ศิริกมล</v>
          </cell>
          <cell r="F551" t="str">
            <v>บัวเผื่อน</v>
          </cell>
          <cell r="G551" t="str">
            <v>คพ.ทผก.</v>
          </cell>
        </row>
        <row r="552">
          <cell r="B552">
            <v>550171</v>
          </cell>
          <cell r="C552" t="str">
            <v>นาย</v>
          </cell>
          <cell r="E552" t="str">
            <v>สังสิทธิ์</v>
          </cell>
          <cell r="F552" t="str">
            <v>ไทยกูล</v>
          </cell>
          <cell r="G552" t="str">
            <v>คพ.ทผก.</v>
          </cell>
        </row>
        <row r="553">
          <cell r="B553">
            <v>620006</v>
          </cell>
          <cell r="C553" t="str">
            <v>น.ส.</v>
          </cell>
          <cell r="E553" t="str">
            <v>สุธิรา</v>
          </cell>
          <cell r="F553" t="str">
            <v>ทองธรรมชาติ</v>
          </cell>
          <cell r="G553" t="str">
            <v>คพ.ทผก.</v>
          </cell>
        </row>
        <row r="554">
          <cell r="B554">
            <v>650042</v>
          </cell>
          <cell r="C554" t="str">
            <v>น.ส.</v>
          </cell>
          <cell r="E554" t="str">
            <v>สมลักษณ์</v>
          </cell>
          <cell r="F554" t="str">
            <v>เสนาะคำ</v>
          </cell>
          <cell r="G554" t="str">
            <v>คพ.ทผก.</v>
          </cell>
        </row>
        <row r="555">
          <cell r="B555">
            <v>580154</v>
          </cell>
          <cell r="C555" t="str">
            <v>นาย</v>
          </cell>
          <cell r="E555" t="str">
            <v>พงษ์ศักดิ์</v>
          </cell>
          <cell r="F555" t="str">
            <v>เรืองไชย</v>
          </cell>
          <cell r="G555" t="str">
            <v>คพ.ทผก.</v>
          </cell>
        </row>
        <row r="556">
          <cell r="B556">
            <v>540365</v>
          </cell>
          <cell r="C556" t="str">
            <v>นาย</v>
          </cell>
          <cell r="E556" t="str">
            <v>พิชญ์</v>
          </cell>
          <cell r="F556" t="str">
            <v>ธิบูรณ์บุญ</v>
          </cell>
          <cell r="G556" t="str">
            <v>คพ.ทผก.</v>
          </cell>
        </row>
        <row r="557">
          <cell r="B557">
            <v>590118</v>
          </cell>
          <cell r="C557" t="str">
            <v>น.ส.</v>
          </cell>
          <cell r="E557" t="str">
            <v>กชกร</v>
          </cell>
          <cell r="F557" t="str">
            <v>พันธ์ทอง</v>
          </cell>
          <cell r="G557" t="str">
            <v>คพ.ทผก.</v>
          </cell>
        </row>
        <row r="558">
          <cell r="B558">
            <v>650137</v>
          </cell>
          <cell r="C558" t="str">
            <v>นาย</v>
          </cell>
          <cell r="E558" t="str">
            <v>โชคพิสิฐ</v>
          </cell>
          <cell r="F558" t="str">
            <v>ปิติเฉลิมโรจน์</v>
          </cell>
          <cell r="G558" t="str">
            <v>คพ.ทผก.</v>
          </cell>
        </row>
        <row r="559">
          <cell r="B559">
            <v>420019</v>
          </cell>
          <cell r="C559" t="str">
            <v>นาย</v>
          </cell>
          <cell r="E559" t="str">
            <v>ชรัณพงษ์</v>
          </cell>
          <cell r="F559" t="str">
            <v>คล้ายลำเจียก</v>
          </cell>
          <cell r="G559" t="str">
            <v>กผ.ทผก.</v>
          </cell>
        </row>
        <row r="560">
          <cell r="B560">
            <v>510001</v>
          </cell>
          <cell r="C560" t="str">
            <v>นาง</v>
          </cell>
          <cell r="E560" t="str">
            <v>สุรีย์พันธ์</v>
          </cell>
          <cell r="F560" t="str">
            <v>คุณากูลสวัสดิ์</v>
          </cell>
          <cell r="G560" t="str">
            <v>กผ.ทผก.</v>
          </cell>
        </row>
        <row r="561">
          <cell r="B561">
            <v>550183</v>
          </cell>
          <cell r="C561" t="str">
            <v>น.ส.</v>
          </cell>
          <cell r="E561" t="str">
            <v>พิชชานันท์</v>
          </cell>
          <cell r="F561" t="str">
            <v>จิรแพศยสุข</v>
          </cell>
          <cell r="G561" t="str">
            <v>กผ.ทผก.</v>
          </cell>
        </row>
        <row r="562">
          <cell r="B562">
            <v>580170</v>
          </cell>
          <cell r="C562" t="str">
            <v>น.ส.</v>
          </cell>
          <cell r="E562" t="str">
            <v>สกาวรัตน์</v>
          </cell>
          <cell r="F562" t="str">
            <v>สัมพัฒนวรชัย</v>
          </cell>
          <cell r="G562" t="str">
            <v>กผ.ทผก.</v>
          </cell>
        </row>
        <row r="563">
          <cell r="B563">
            <v>600040</v>
          </cell>
          <cell r="C563" t="str">
            <v>น.ส.</v>
          </cell>
          <cell r="E563" t="str">
            <v>อรวรรยา</v>
          </cell>
          <cell r="F563" t="str">
            <v>ประกอบสุข</v>
          </cell>
          <cell r="G563" t="str">
            <v>กผ.ทผก.</v>
          </cell>
        </row>
        <row r="564">
          <cell r="B564">
            <v>620077</v>
          </cell>
          <cell r="C564" t="str">
            <v>นาย</v>
          </cell>
          <cell r="E564" t="str">
            <v>ศิรวิทย์</v>
          </cell>
          <cell r="F564" t="str">
            <v>เชรษฐศิริ</v>
          </cell>
          <cell r="G564" t="str">
            <v>กผ.ทผก.</v>
          </cell>
        </row>
        <row r="565">
          <cell r="B565">
            <v>590140</v>
          </cell>
          <cell r="C565" t="str">
            <v>น.ส.</v>
          </cell>
          <cell r="E565" t="str">
            <v>นวพร</v>
          </cell>
          <cell r="F565" t="str">
            <v>หุ่นเหมอาบ</v>
          </cell>
          <cell r="G565" t="str">
            <v>กผ.ทผก.</v>
          </cell>
        </row>
        <row r="566">
          <cell r="B566">
            <v>640126</v>
          </cell>
          <cell r="C566" t="str">
            <v>นาย</v>
          </cell>
          <cell r="E566" t="str">
            <v>ธนวัฒน์</v>
          </cell>
          <cell r="F566" t="str">
            <v>วรรณดอนแดง</v>
          </cell>
          <cell r="G566" t="str">
            <v>กผ.ทผก.</v>
          </cell>
        </row>
        <row r="567">
          <cell r="B567">
            <v>690022</v>
          </cell>
          <cell r="C567" t="str">
            <v>นาย</v>
          </cell>
          <cell r="E567" t="str">
            <v>ศิรชัช</v>
          </cell>
          <cell r="F567" t="str">
            <v>สัตยารักษ์</v>
          </cell>
          <cell r="G567" t="str">
            <v>กผ.ทผก.</v>
          </cell>
        </row>
        <row r="568">
          <cell r="B568">
            <v>560032</v>
          </cell>
          <cell r="C568" t="str">
            <v>นาย</v>
          </cell>
          <cell r="E568" t="str">
            <v>ชาญวิทย์</v>
          </cell>
          <cell r="F568" t="str">
            <v>จันสถิรพานิช</v>
          </cell>
          <cell r="G568" t="str">
            <v>ทน.ทผก.</v>
          </cell>
        </row>
        <row r="569">
          <cell r="B569">
            <v>580120</v>
          </cell>
          <cell r="C569" t="str">
            <v>น.ส.</v>
          </cell>
          <cell r="E569" t="str">
            <v>ภิภัสรา</v>
          </cell>
          <cell r="F569" t="str">
            <v>สุขประสงค์</v>
          </cell>
          <cell r="G569" t="str">
            <v>ทน.ทผก.</v>
          </cell>
        </row>
        <row r="570">
          <cell r="B570">
            <v>600110</v>
          </cell>
          <cell r="C570" t="str">
            <v>น.ส.</v>
          </cell>
          <cell r="E570" t="str">
            <v>พีรชา</v>
          </cell>
          <cell r="F570" t="str">
            <v>จักรเพ็ชร</v>
          </cell>
          <cell r="G570" t="str">
            <v>ทน.ทผก.</v>
          </cell>
        </row>
        <row r="571">
          <cell r="B571">
            <v>640022</v>
          </cell>
          <cell r="C571" t="str">
            <v>น.ส.</v>
          </cell>
          <cell r="E571" t="str">
            <v>ปิยนุช</v>
          </cell>
          <cell r="F571" t="str">
            <v>สบายแก้ว</v>
          </cell>
          <cell r="G571" t="str">
            <v>ทน.ทผก.</v>
          </cell>
        </row>
        <row r="572">
          <cell r="B572">
            <v>650098</v>
          </cell>
          <cell r="C572" t="str">
            <v>น.ส.</v>
          </cell>
          <cell r="E572" t="str">
            <v>รักษิณา</v>
          </cell>
          <cell r="F572" t="str">
            <v>พรหมพันธ์</v>
          </cell>
          <cell r="G572" t="str">
            <v>ทน.ทผก.</v>
          </cell>
        </row>
        <row r="573">
          <cell r="B573">
            <v>660052</v>
          </cell>
          <cell r="C573" t="str">
            <v>นาย</v>
          </cell>
          <cell r="E573" t="str">
            <v>ศุภวิชญ์</v>
          </cell>
          <cell r="F573" t="str">
            <v>บุญช่วย</v>
          </cell>
          <cell r="G573" t="str">
            <v>ทน.ทผก.</v>
          </cell>
        </row>
        <row r="574">
          <cell r="B574">
            <v>340007</v>
          </cell>
          <cell r="C574" t="str">
            <v>นาย</v>
          </cell>
          <cell r="E574" t="str">
            <v>อัครเดช</v>
          </cell>
          <cell r="F574" t="str">
            <v>เดชะเทศ</v>
          </cell>
          <cell r="G574" t="str">
            <v>สยก.</v>
          </cell>
        </row>
        <row r="575">
          <cell r="B575">
            <v>520159</v>
          </cell>
          <cell r="C575" t="str">
            <v>น.ส.</v>
          </cell>
          <cell r="E575" t="str">
            <v>ธัญญพัทธ์</v>
          </cell>
          <cell r="F575" t="str">
            <v>วงศ์ศิริขจร</v>
          </cell>
          <cell r="G575" t="str">
            <v>สยก.</v>
          </cell>
        </row>
        <row r="576">
          <cell r="B576">
            <v>400075</v>
          </cell>
          <cell r="C576" t="str">
            <v>นาย</v>
          </cell>
          <cell r="E576" t="str">
            <v>ชวลิต</v>
          </cell>
          <cell r="F576" t="str">
            <v>บุญบำรุงชัย</v>
          </cell>
          <cell r="G576" t="str">
            <v>บผ.สยก.</v>
          </cell>
        </row>
        <row r="577">
          <cell r="B577">
            <v>390097</v>
          </cell>
          <cell r="C577" t="str">
            <v>นาย</v>
          </cell>
          <cell r="E577" t="str">
            <v>พัฒนศักดิ์</v>
          </cell>
          <cell r="F577" t="str">
            <v>วุฒิทวี</v>
          </cell>
          <cell r="G577" t="str">
            <v>บผ.สยก.</v>
          </cell>
        </row>
        <row r="578">
          <cell r="B578">
            <v>400137</v>
          </cell>
          <cell r="C578" t="str">
            <v>นาย</v>
          </cell>
          <cell r="E578" t="str">
            <v>วีระศักดิ์</v>
          </cell>
          <cell r="F578" t="str">
            <v>หาญห้าว</v>
          </cell>
          <cell r="G578" t="str">
            <v>บผ.สยก.</v>
          </cell>
        </row>
        <row r="579">
          <cell r="B579">
            <v>490051</v>
          </cell>
          <cell r="C579" t="str">
            <v>นาย</v>
          </cell>
          <cell r="E579" t="str">
            <v>ชยธร</v>
          </cell>
          <cell r="F579" t="str">
            <v>ชื่นชม</v>
          </cell>
          <cell r="G579" t="str">
            <v>บผ.สยก.</v>
          </cell>
        </row>
        <row r="580">
          <cell r="B580">
            <v>650117</v>
          </cell>
          <cell r="C580" t="str">
            <v>นาย</v>
          </cell>
          <cell r="E580" t="str">
            <v>ธนธรณ์</v>
          </cell>
          <cell r="F580" t="str">
            <v>จันทร์เจริญ</v>
          </cell>
          <cell r="G580" t="str">
            <v>บผ.สยก.</v>
          </cell>
        </row>
        <row r="581">
          <cell r="B581">
            <v>690024</v>
          </cell>
          <cell r="C581" t="str">
            <v>นาย</v>
          </cell>
          <cell r="E581" t="str">
            <v>ชัยวัฒน์</v>
          </cell>
          <cell r="F581" t="str">
            <v>ชวลิตชัยชาญ</v>
          </cell>
          <cell r="G581" t="str">
            <v>บผ.สยก.</v>
          </cell>
        </row>
        <row r="582">
          <cell r="B582">
            <v>360073</v>
          </cell>
          <cell r="C582" t="str">
            <v>นาย</v>
          </cell>
          <cell r="E582" t="str">
            <v>อรุณ</v>
          </cell>
          <cell r="F582" t="str">
            <v>อินทนาศักดิ์</v>
          </cell>
          <cell r="G582" t="str">
            <v>ปก.สยก.</v>
          </cell>
        </row>
        <row r="583">
          <cell r="B583">
            <v>470039</v>
          </cell>
          <cell r="C583" t="str">
            <v>นาย</v>
          </cell>
          <cell r="E583" t="str">
            <v>ไพฑูรย์</v>
          </cell>
          <cell r="F583" t="str">
            <v>พรมโว</v>
          </cell>
          <cell r="G583" t="str">
            <v>ผ.ปก.A ปก.</v>
          </cell>
        </row>
        <row r="584">
          <cell r="B584">
            <v>480220</v>
          </cell>
          <cell r="C584" t="str">
            <v>นาย</v>
          </cell>
          <cell r="E584" t="str">
            <v>วิจิตรจินดา</v>
          </cell>
          <cell r="F584" t="str">
            <v>คงนาค</v>
          </cell>
          <cell r="G584" t="str">
            <v>ผ.ปก.A ปก.</v>
          </cell>
        </row>
        <row r="585">
          <cell r="B585">
            <v>480234</v>
          </cell>
          <cell r="C585" t="str">
            <v>นาย</v>
          </cell>
          <cell r="E585" t="str">
            <v>อุทิศ</v>
          </cell>
          <cell r="F585" t="str">
            <v>ปันสา</v>
          </cell>
          <cell r="G585" t="str">
            <v>ผ.ปก.A ปก.</v>
          </cell>
        </row>
        <row r="586">
          <cell r="B586">
            <v>540199</v>
          </cell>
          <cell r="C586" t="str">
            <v>นาย</v>
          </cell>
          <cell r="E586" t="str">
            <v>ชยพล</v>
          </cell>
          <cell r="F586" t="str">
            <v>พุกภิญโญ</v>
          </cell>
          <cell r="G586" t="str">
            <v>ผ.ปก.A ปก.</v>
          </cell>
        </row>
        <row r="587">
          <cell r="B587">
            <v>580259</v>
          </cell>
          <cell r="C587" t="str">
            <v>นาย</v>
          </cell>
          <cell r="E587" t="str">
            <v>อนุศักดิ์</v>
          </cell>
          <cell r="F587" t="str">
            <v>แดงเกาะโพธิ์</v>
          </cell>
          <cell r="G587" t="str">
            <v>ผ.ปก.A ปก.</v>
          </cell>
        </row>
        <row r="588">
          <cell r="B588">
            <v>600146</v>
          </cell>
          <cell r="C588" t="str">
            <v>นาย</v>
          </cell>
          <cell r="E588" t="str">
            <v>สุเมธ</v>
          </cell>
          <cell r="F588" t="str">
            <v>กาวงษ์กลาง</v>
          </cell>
          <cell r="G588" t="str">
            <v>ผ.ปก.A ปก.</v>
          </cell>
        </row>
        <row r="589">
          <cell r="B589">
            <v>680027</v>
          </cell>
          <cell r="C589" t="str">
            <v>นาย</v>
          </cell>
          <cell r="E589" t="str">
            <v>นราวิชญ์</v>
          </cell>
          <cell r="F589" t="str">
            <v>แสงสุข</v>
          </cell>
          <cell r="G589" t="str">
            <v>ผ.ปก.A ปก.</v>
          </cell>
        </row>
        <row r="590">
          <cell r="B590">
            <v>480185</v>
          </cell>
          <cell r="C590" t="str">
            <v>นาย</v>
          </cell>
          <cell r="E590" t="str">
            <v>กิตติพงศ์</v>
          </cell>
          <cell r="F590" t="str">
            <v>ทั่งสอ</v>
          </cell>
          <cell r="G590" t="str">
            <v>ผ.ปก.B ปก.</v>
          </cell>
        </row>
        <row r="591">
          <cell r="B591">
            <v>480198</v>
          </cell>
          <cell r="C591" t="str">
            <v>นาย</v>
          </cell>
          <cell r="E591" t="str">
            <v>สุปราการ</v>
          </cell>
          <cell r="F591" t="str">
            <v>จันดี</v>
          </cell>
          <cell r="G591" t="str">
            <v>ผ.ปก.B ปก.</v>
          </cell>
        </row>
        <row r="592">
          <cell r="B592">
            <v>480241</v>
          </cell>
          <cell r="C592" t="str">
            <v>นาย</v>
          </cell>
          <cell r="E592" t="str">
            <v>อภิชาติ</v>
          </cell>
          <cell r="F592" t="str">
            <v>วงษ์ศรี</v>
          </cell>
          <cell r="G592" t="str">
            <v>ผ.ปก.B ปก.</v>
          </cell>
        </row>
        <row r="593">
          <cell r="B593">
            <v>510142</v>
          </cell>
          <cell r="C593" t="str">
            <v>นาย</v>
          </cell>
          <cell r="E593" t="str">
            <v>ชัยวัฒน์</v>
          </cell>
          <cell r="F593" t="str">
            <v>เกิดแสง</v>
          </cell>
          <cell r="G593" t="str">
            <v>ผ.ปก.B ปก.</v>
          </cell>
        </row>
        <row r="594">
          <cell r="B594">
            <v>520088</v>
          </cell>
          <cell r="C594" t="str">
            <v>นาย</v>
          </cell>
          <cell r="E594" t="str">
            <v>พชรพล</v>
          </cell>
          <cell r="F594" t="str">
            <v>นาวาประดิษฐ</v>
          </cell>
          <cell r="G594" t="str">
            <v>ผ.ปก.B ปก.</v>
          </cell>
        </row>
        <row r="595">
          <cell r="B595">
            <v>580260</v>
          </cell>
          <cell r="C595" t="str">
            <v>นาย</v>
          </cell>
          <cell r="E595" t="str">
            <v>คุณกร</v>
          </cell>
          <cell r="F595" t="str">
            <v>กากแก้ว</v>
          </cell>
          <cell r="G595" t="str">
            <v>ผ.ปก.B ปก.</v>
          </cell>
        </row>
        <row r="596">
          <cell r="B596">
            <v>580073</v>
          </cell>
          <cell r="C596" t="str">
            <v>นาย</v>
          </cell>
          <cell r="E596" t="str">
            <v>จิตกร</v>
          </cell>
          <cell r="F596" t="str">
            <v>นาควิลัย</v>
          </cell>
          <cell r="G596" t="str">
            <v>ผ.ปก.B ปก.</v>
          </cell>
        </row>
        <row r="597">
          <cell r="B597">
            <v>400235</v>
          </cell>
          <cell r="C597" t="str">
            <v>นาย</v>
          </cell>
          <cell r="E597" t="str">
            <v>อภิสิทธิ์</v>
          </cell>
          <cell r="F597" t="str">
            <v>ยังชั่งเขียน</v>
          </cell>
          <cell r="G597" t="str">
            <v>ผ.ปก.C ปก.</v>
          </cell>
        </row>
        <row r="598">
          <cell r="B598">
            <v>470059</v>
          </cell>
          <cell r="C598" t="str">
            <v>นาย</v>
          </cell>
          <cell r="E598" t="str">
            <v>เมธิ์ธัช</v>
          </cell>
          <cell r="F598" t="str">
            <v>อ่อนจันทร์</v>
          </cell>
          <cell r="G598" t="str">
            <v>ผ.ปก.C ปก.</v>
          </cell>
        </row>
        <row r="599">
          <cell r="B599">
            <v>490223</v>
          </cell>
          <cell r="C599" t="str">
            <v>นาย</v>
          </cell>
          <cell r="E599" t="str">
            <v>สิทธิชัย</v>
          </cell>
          <cell r="F599" t="str">
            <v>รัตนพันธุ์จักร์</v>
          </cell>
          <cell r="G599" t="str">
            <v>ผ.ปก.C ปก.</v>
          </cell>
        </row>
        <row r="600">
          <cell r="B600">
            <v>510093</v>
          </cell>
          <cell r="C600" t="str">
            <v>นาย</v>
          </cell>
          <cell r="E600" t="str">
            <v>โอฬาร</v>
          </cell>
          <cell r="F600" t="str">
            <v>ศรีมงคล</v>
          </cell>
          <cell r="G600" t="str">
            <v>ผ.ปก.C ปก.</v>
          </cell>
        </row>
        <row r="601">
          <cell r="B601">
            <v>540202</v>
          </cell>
          <cell r="C601" t="str">
            <v>นาย</v>
          </cell>
          <cell r="E601" t="str">
            <v>บุรนันท์</v>
          </cell>
          <cell r="F601" t="str">
            <v>จันทราทิตย์</v>
          </cell>
          <cell r="G601" t="str">
            <v>ผ.ปก.C ปก.</v>
          </cell>
        </row>
        <row r="602">
          <cell r="B602">
            <v>580261</v>
          </cell>
          <cell r="C602" t="str">
            <v>นาย</v>
          </cell>
          <cell r="E602" t="str">
            <v>ณัฐพัชร์</v>
          </cell>
          <cell r="F602" t="str">
            <v>พิทักษ์วงษ์</v>
          </cell>
          <cell r="G602" t="str">
            <v>ผ.ปก.C ปก.</v>
          </cell>
        </row>
        <row r="603">
          <cell r="B603">
            <v>680048</v>
          </cell>
          <cell r="C603" t="str">
            <v>นาย</v>
          </cell>
          <cell r="E603" t="str">
            <v>ประสิทธิ์</v>
          </cell>
          <cell r="F603" t="str">
            <v>สดรัมย์</v>
          </cell>
          <cell r="G603" t="str">
            <v>ผ.ปก.C ปก.</v>
          </cell>
        </row>
        <row r="604">
          <cell r="B604">
            <v>340095</v>
          </cell>
          <cell r="C604" t="str">
            <v>นาย</v>
          </cell>
          <cell r="E604" t="str">
            <v>ทวี</v>
          </cell>
          <cell r="F604" t="str">
            <v>ใบโพธิ์</v>
          </cell>
          <cell r="G604" t="str">
            <v>ผ.ปก.D ปก.</v>
          </cell>
        </row>
        <row r="605">
          <cell r="B605">
            <v>340107</v>
          </cell>
          <cell r="C605" t="str">
            <v>นาย</v>
          </cell>
          <cell r="E605" t="str">
            <v>ธนิต</v>
          </cell>
          <cell r="F605" t="str">
            <v>สุขสำราญ</v>
          </cell>
          <cell r="G605" t="str">
            <v>ผ.ปก.D ปก.</v>
          </cell>
        </row>
        <row r="606">
          <cell r="B606">
            <v>480194</v>
          </cell>
          <cell r="C606" t="str">
            <v>นาย</v>
          </cell>
          <cell r="E606" t="str">
            <v>วิสูตร</v>
          </cell>
          <cell r="F606" t="str">
            <v>พรมชาวเฉียง</v>
          </cell>
          <cell r="G606" t="str">
            <v>ผ.ปก.D ปก.</v>
          </cell>
        </row>
        <row r="607">
          <cell r="B607">
            <v>560247</v>
          </cell>
          <cell r="C607" t="str">
            <v>นาย</v>
          </cell>
          <cell r="E607" t="str">
            <v>สุทธิเดช</v>
          </cell>
          <cell r="F607" t="str">
            <v>พาจันทร์</v>
          </cell>
          <cell r="G607" t="str">
            <v>ผ.ปก.D ปก.</v>
          </cell>
        </row>
        <row r="608">
          <cell r="B608">
            <v>580286</v>
          </cell>
          <cell r="C608" t="str">
            <v>นาย</v>
          </cell>
          <cell r="E608" t="str">
            <v>ธีรพงษ์</v>
          </cell>
          <cell r="F608" t="str">
            <v>พุทธตาล</v>
          </cell>
          <cell r="G608" t="str">
            <v>ผ.ปก.D ปก.</v>
          </cell>
        </row>
        <row r="609">
          <cell r="B609">
            <v>540243</v>
          </cell>
          <cell r="C609" t="str">
            <v>นาย</v>
          </cell>
          <cell r="E609" t="str">
            <v>ณัฐพล</v>
          </cell>
          <cell r="F609" t="str">
            <v>กล้าเกิดผล</v>
          </cell>
          <cell r="G609" t="str">
            <v>ผ.ปก.D ปก.</v>
          </cell>
        </row>
        <row r="610">
          <cell r="B610">
            <v>600015</v>
          </cell>
          <cell r="C610" t="str">
            <v>นาย</v>
          </cell>
          <cell r="E610" t="str">
            <v>ปารณัท</v>
          </cell>
          <cell r="F610" t="str">
            <v>วัชระปรารมย์</v>
          </cell>
          <cell r="G610" t="str">
            <v>ผ.ปก.D ปก.</v>
          </cell>
        </row>
        <row r="611">
          <cell r="B611">
            <v>350070</v>
          </cell>
          <cell r="C611" t="str">
            <v>นาย</v>
          </cell>
          <cell r="E611" t="str">
            <v>ธวัชชัย</v>
          </cell>
          <cell r="F611" t="str">
            <v>ธนกุลบดี</v>
          </cell>
          <cell r="G611" t="str">
            <v>คจ.สยก.</v>
          </cell>
        </row>
        <row r="612">
          <cell r="B612">
            <v>410055</v>
          </cell>
          <cell r="C612" t="str">
            <v>นาย</v>
          </cell>
          <cell r="E612" t="str">
            <v>ศรวัสย์</v>
          </cell>
          <cell r="F612" t="str">
            <v>หวังงำทรัพย์</v>
          </cell>
          <cell r="G612" t="str">
            <v>ผ.ปก.A คจ.</v>
          </cell>
        </row>
        <row r="613">
          <cell r="B613">
            <v>550140</v>
          </cell>
          <cell r="C613" t="str">
            <v>นาย</v>
          </cell>
          <cell r="E613" t="str">
            <v>กิติศักดิ์</v>
          </cell>
          <cell r="F613" t="str">
            <v>เบญจพลาภรณ์</v>
          </cell>
          <cell r="G613" t="str">
            <v>ผ.ปก.A คจ.</v>
          </cell>
        </row>
        <row r="614">
          <cell r="B614">
            <v>640054</v>
          </cell>
          <cell r="C614" t="str">
            <v>นาย</v>
          </cell>
          <cell r="E614" t="str">
            <v>สรนัย</v>
          </cell>
          <cell r="F614" t="str">
            <v>เอี่ยมสกุล</v>
          </cell>
          <cell r="G614" t="str">
            <v>ผ.ปก.A คจ.</v>
          </cell>
        </row>
        <row r="615">
          <cell r="B615">
            <v>660053</v>
          </cell>
          <cell r="C615" t="str">
            <v>นาย</v>
          </cell>
          <cell r="E615" t="str">
            <v>ไททันส์</v>
          </cell>
          <cell r="F615" t="str">
            <v>มาเสถียร</v>
          </cell>
          <cell r="G615" t="str">
            <v>ผ.ปก.A คจ.</v>
          </cell>
        </row>
        <row r="616">
          <cell r="B616">
            <v>670042</v>
          </cell>
          <cell r="C616" t="str">
            <v>นาย</v>
          </cell>
          <cell r="E616" t="str">
            <v>ปฐม</v>
          </cell>
          <cell r="F616" t="str">
            <v>คิดดี</v>
          </cell>
          <cell r="G616" t="str">
            <v>ผ.ปก.A คจ.</v>
          </cell>
        </row>
        <row r="617">
          <cell r="B617">
            <v>680042</v>
          </cell>
          <cell r="C617" t="str">
            <v>นาย</v>
          </cell>
          <cell r="E617" t="str">
            <v>นพนันท์</v>
          </cell>
          <cell r="F617" t="str">
            <v>คำเมือง</v>
          </cell>
          <cell r="G617" t="str">
            <v>ผ.ปก.A คจ.</v>
          </cell>
        </row>
        <row r="618">
          <cell r="B618">
            <v>360111</v>
          </cell>
          <cell r="C618" t="str">
            <v>นาย</v>
          </cell>
          <cell r="E618" t="str">
            <v>ประมาณ</v>
          </cell>
          <cell r="F618" t="str">
            <v>ยังเจริญ</v>
          </cell>
          <cell r="G618" t="str">
            <v>ผ.ปก.B คจ.</v>
          </cell>
        </row>
        <row r="619">
          <cell r="B619">
            <v>550027</v>
          </cell>
          <cell r="C619" t="str">
            <v>นาย</v>
          </cell>
          <cell r="E619" t="str">
            <v>ธนาวิน</v>
          </cell>
          <cell r="F619" t="str">
            <v>รื่นเริง</v>
          </cell>
          <cell r="G619" t="str">
            <v>ผ.ปก.B คจ.</v>
          </cell>
        </row>
        <row r="620">
          <cell r="B620">
            <v>580263</v>
          </cell>
          <cell r="C620" t="str">
            <v>นาย</v>
          </cell>
          <cell r="E620" t="str">
            <v>รัชพงศ์</v>
          </cell>
          <cell r="F620" t="str">
            <v>พันธุมวรรณ</v>
          </cell>
          <cell r="G620" t="str">
            <v>ผ.ปก.B คจ.</v>
          </cell>
        </row>
        <row r="621">
          <cell r="B621">
            <v>530028</v>
          </cell>
          <cell r="C621" t="str">
            <v>นาย</v>
          </cell>
          <cell r="E621" t="str">
            <v>ณัชพล</v>
          </cell>
          <cell r="F621" t="str">
            <v>ภู่ถาวร</v>
          </cell>
          <cell r="G621" t="str">
            <v>ผ.ปก.B คจ.</v>
          </cell>
        </row>
        <row r="622">
          <cell r="B622">
            <v>640053</v>
          </cell>
          <cell r="C622" t="str">
            <v>นาย</v>
          </cell>
          <cell r="E622" t="str">
            <v>ปิยะมินทร์</v>
          </cell>
          <cell r="F622" t="str">
            <v>เทียมทรัพย์</v>
          </cell>
          <cell r="G622" t="str">
            <v>ผ.ปก.B คจ.</v>
          </cell>
        </row>
        <row r="623">
          <cell r="B623">
            <v>650107</v>
          </cell>
          <cell r="C623" t="str">
            <v>นาย</v>
          </cell>
          <cell r="E623" t="str">
            <v>วีรภัทร</v>
          </cell>
          <cell r="F623" t="str">
            <v>นารีนุช</v>
          </cell>
          <cell r="G623" t="str">
            <v>ผ.ปก.B คจ.</v>
          </cell>
        </row>
        <row r="624">
          <cell r="B624">
            <v>470037</v>
          </cell>
          <cell r="C624" t="str">
            <v>นาย</v>
          </cell>
          <cell r="E624" t="str">
            <v>ชยกร</v>
          </cell>
          <cell r="F624" t="str">
            <v>จูบุญส่ง</v>
          </cell>
          <cell r="G624" t="str">
            <v>ผ.ปก.C คจ.</v>
          </cell>
        </row>
        <row r="625">
          <cell r="B625">
            <v>550141</v>
          </cell>
          <cell r="C625" t="str">
            <v>นาย</v>
          </cell>
          <cell r="E625" t="str">
            <v>ทศพร</v>
          </cell>
          <cell r="F625" t="str">
            <v>ปลัดใจ</v>
          </cell>
          <cell r="G625" t="str">
            <v>ผ.ปก.C คจ.</v>
          </cell>
        </row>
        <row r="626">
          <cell r="B626">
            <v>580272</v>
          </cell>
          <cell r="C626" t="str">
            <v>นาย</v>
          </cell>
          <cell r="E626" t="str">
            <v>พรเทพ</v>
          </cell>
          <cell r="F626" t="str">
            <v>หาญสาริกิจ</v>
          </cell>
          <cell r="G626" t="str">
            <v>ผ.ปก.C คจ.</v>
          </cell>
        </row>
        <row r="627">
          <cell r="B627">
            <v>660036</v>
          </cell>
          <cell r="C627" t="str">
            <v>นาย</v>
          </cell>
          <cell r="E627" t="str">
            <v>ภาณุวัฒน์</v>
          </cell>
          <cell r="F627" t="str">
            <v>หรูพิทักษ์</v>
          </cell>
          <cell r="G627" t="str">
            <v>ผ.ปก.C คจ.</v>
          </cell>
        </row>
        <row r="628">
          <cell r="B628">
            <v>680081</v>
          </cell>
          <cell r="C628" t="str">
            <v>นาย</v>
          </cell>
          <cell r="E628" t="str">
            <v>ศิวกร</v>
          </cell>
          <cell r="F628" t="str">
            <v>สุระคำ</v>
          </cell>
          <cell r="G628" t="str">
            <v>ผ.ปก.C คจ.</v>
          </cell>
        </row>
        <row r="629">
          <cell r="B629">
            <v>480023</v>
          </cell>
          <cell r="C629" t="str">
            <v>นาย</v>
          </cell>
          <cell r="E629" t="str">
            <v>วีระศักดิ์</v>
          </cell>
          <cell r="F629" t="str">
            <v>งามฉวี</v>
          </cell>
          <cell r="G629" t="str">
            <v>ผ.ปก.D คจ.</v>
          </cell>
        </row>
        <row r="630">
          <cell r="B630">
            <v>550142</v>
          </cell>
          <cell r="C630" t="str">
            <v>นาย</v>
          </cell>
          <cell r="E630" t="str">
            <v>ศักดิ์สงกรานต์</v>
          </cell>
          <cell r="F630" t="str">
            <v>บุญเพ็ง</v>
          </cell>
          <cell r="G630" t="str">
            <v>ผ.ปก.D คจ.</v>
          </cell>
        </row>
        <row r="631">
          <cell r="B631">
            <v>640056</v>
          </cell>
          <cell r="C631" t="str">
            <v>นาย</v>
          </cell>
          <cell r="E631" t="str">
            <v>กายสิทธิ์</v>
          </cell>
          <cell r="F631" t="str">
            <v>เพียรดำ</v>
          </cell>
          <cell r="G631" t="str">
            <v>ผ.ปก.D คจ.</v>
          </cell>
        </row>
        <row r="632">
          <cell r="B632">
            <v>660037</v>
          </cell>
          <cell r="C632" t="str">
            <v>นาย</v>
          </cell>
          <cell r="E632" t="str">
            <v>เสฎฐวุฒิ</v>
          </cell>
          <cell r="F632" t="str">
            <v>มุกดาหาร</v>
          </cell>
          <cell r="G632" t="str">
            <v>ผ.ปก.D คจ.</v>
          </cell>
        </row>
        <row r="633">
          <cell r="B633">
            <v>660054</v>
          </cell>
          <cell r="C633" t="str">
            <v>นาย</v>
          </cell>
          <cell r="E633" t="str">
            <v>อธิราช</v>
          </cell>
          <cell r="F633" t="str">
            <v>ชาลีชาติ</v>
          </cell>
          <cell r="G633" t="str">
            <v>ผ.ปก.D คจ.</v>
          </cell>
        </row>
        <row r="634">
          <cell r="B634">
            <v>690023</v>
          </cell>
          <cell r="C634" t="str">
            <v>นาย</v>
          </cell>
          <cell r="E634" t="str">
            <v>จิรเมธ</v>
          </cell>
          <cell r="F634" t="str">
            <v>ดวงประทุม</v>
          </cell>
          <cell r="G634" t="str">
            <v>ผ.ปก.D คจ.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bolic Syndrome"/>
      <sheetName val="CVD"/>
      <sheetName val="พนักงานรายชื่อซ้ำ"/>
      <sheetName val="pivot"/>
      <sheetName val="Graph"/>
      <sheetName val="กลุ่มเสี่ยง UnFit to Work"/>
      <sheetName val="กลุ่มเสี่ยง Fit to Work มีข้อจั"/>
    </sheetNames>
    <sheetDataSet>
      <sheetData sheetId="0"/>
      <sheetData sheetId="1">
        <row r="1">
          <cell r="A1" t="str">
            <v>วิเคราะห์ผลการตรวจสุขภาพพนักงาน ประจำปี 2568</v>
          </cell>
        </row>
        <row r="2">
          <cell r="A2" t="str">
            <v>โรคหลอดเลือดหัวใจและสมองในอีก 10 ปี</v>
          </cell>
        </row>
        <row r="3">
          <cell r="A3"/>
          <cell r="R3" t="str">
            <v>0 หญิง 1 ชาย</v>
          </cell>
          <cell r="S3" t="str">
            <v>0 ไม่ 1 ใช่</v>
          </cell>
          <cell r="T3" t="str">
            <v>0 ไม่ 1 ใช่</v>
          </cell>
          <cell r="U3"/>
          <cell r="V3" t="str">
            <v>%</v>
          </cell>
        </row>
        <row r="4">
          <cell r="A4" t="str">
            <v>เลขประจำตัวพนักงาน</v>
          </cell>
          <cell r="B4" t="str">
            <v>คำนำหน้า</v>
          </cell>
          <cell r="C4" t="str">
            <v>ชื่อ</v>
          </cell>
          <cell r="D4" t="str">
            <v>นามสกุล</v>
          </cell>
          <cell r="E4" t="str">
            <v>แผนก</v>
          </cell>
          <cell r="F4" t="str">
            <v>กลุ่มงาน</v>
          </cell>
          <cell r="G4" t="str">
            <v>อายุ</v>
          </cell>
          <cell r="H4" t="str">
            <v>เพศ</v>
          </cell>
          <cell r="I4" t="str">
            <v>ข้อมูลการสูบบุหรี่</v>
          </cell>
          <cell r="J4" t="str">
            <v>Systolic blood pressure</v>
          </cell>
          <cell r="K4" t="str">
            <v>Height</v>
          </cell>
          <cell r="L4" t="str">
            <v>Weight</v>
          </cell>
          <cell r="M4" t="str">
            <v>BMI</v>
          </cell>
          <cell r="N4" t="str">
            <v>Waist circumferencec</v>
          </cell>
          <cell r="O4" t="str">
            <v>ข้อมูลโรคประจำตัว</v>
          </cell>
          <cell r="P4" t="str">
            <v>Fasting blood sugar</v>
          </cell>
          <cell r="Q4" t="str">
            <v>Total cholesterol</v>
          </cell>
          <cell r="R4" t="str">
            <v>Gender</v>
          </cell>
          <cell r="S4" t="str">
            <v>HaveSmoke</v>
          </cell>
          <cell r="T4" t="str">
            <v>HaveDM</v>
          </cell>
          <cell r="U4" t="str">
            <v>10-Years Thai CV Risk (Full Score)</v>
          </cell>
          <cell r="V4" t="str">
            <v>10-Years Thai CV Risk (%)</v>
          </cell>
          <cell r="W4" t="str">
            <v>กลุ่มความเสี่ยง</v>
          </cell>
        </row>
        <row r="5">
          <cell r="A5">
            <v>330076</v>
          </cell>
          <cell r="B5" t="str">
            <v>นาย</v>
          </cell>
          <cell r="C5" t="str">
            <v>ดำรงค์</v>
          </cell>
          <cell r="D5" t="str">
            <v>คงสมบูรณ์</v>
          </cell>
          <cell r="E5" t="str">
            <v>บค.วบก.</v>
          </cell>
          <cell r="F5" t="str">
            <v>Maintenance</v>
          </cell>
          <cell r="G5">
            <v>56.043805612594106</v>
          </cell>
          <cell r="H5" t="str">
            <v>Male</v>
          </cell>
          <cell r="I5" t="str">
            <v>ไม่สูบ</v>
          </cell>
          <cell r="J5">
            <v>141</v>
          </cell>
          <cell r="K5">
            <v>162</v>
          </cell>
          <cell r="L5">
            <v>77.3</v>
          </cell>
          <cell r="M5">
            <v>29.454351470812377</v>
          </cell>
          <cell r="N5">
            <v>99</v>
          </cell>
          <cell r="O5" t="str">
            <v>โรคความดันโลหิตสูง , โรคเบาหวาน , โรคเก๊าท์</v>
          </cell>
          <cell r="P5">
            <v>130</v>
          </cell>
          <cell r="Q5">
            <v>170</v>
          </cell>
          <cell r="R5">
            <v>1</v>
          </cell>
          <cell r="S5">
            <v>0</v>
          </cell>
          <cell r="T5">
            <v>1</v>
          </cell>
          <cell r="U5">
            <v>8.9796346132785754</v>
          </cell>
          <cell r="V5">
            <v>22.099766076073024</v>
          </cell>
          <cell r="W5" t="str">
            <v>ความเสี่ยงสูง</v>
          </cell>
        </row>
        <row r="6">
          <cell r="A6">
            <v>340095</v>
          </cell>
          <cell r="B6" t="str">
            <v>นาย</v>
          </cell>
          <cell r="C6" t="str">
            <v>ทวี</v>
          </cell>
          <cell r="D6" t="str">
            <v>ใบโพธิ์</v>
          </cell>
          <cell r="E6" t="str">
            <v>ผ.ปก.D ปก.</v>
          </cell>
          <cell r="F6" t="str">
            <v>Operation</v>
          </cell>
          <cell r="G6">
            <v>55.816563997262136</v>
          </cell>
          <cell r="H6" t="str">
            <v>Male</v>
          </cell>
          <cell r="I6" t="str">
            <v>ไม่สูบ</v>
          </cell>
          <cell r="J6">
            <v>167</v>
          </cell>
          <cell r="K6">
            <v>165.5</v>
          </cell>
          <cell r="L6">
            <v>79.8</v>
          </cell>
          <cell r="M6">
            <v>29.13445477861648</v>
          </cell>
          <cell r="N6">
            <v>101</v>
          </cell>
          <cell r="O6" t="str">
            <v>ไม่มี</v>
          </cell>
          <cell r="P6">
            <v>110</v>
          </cell>
          <cell r="Q6">
            <v>246</v>
          </cell>
          <cell r="R6">
            <v>1</v>
          </cell>
          <cell r="S6">
            <v>0</v>
          </cell>
          <cell r="T6">
            <v>0</v>
          </cell>
          <cell r="U6">
            <v>8.964259431895961</v>
          </cell>
          <cell r="V6">
            <v>21.802364992131441</v>
          </cell>
          <cell r="W6" t="str">
            <v>ความเสี่ยงสูง</v>
          </cell>
        </row>
        <row r="7">
          <cell r="A7">
            <v>340016</v>
          </cell>
          <cell r="B7" t="str">
            <v>นาย</v>
          </cell>
          <cell r="C7" t="str">
            <v>นที</v>
          </cell>
          <cell r="D7" t="str">
            <v>กนิษฐสุนทร</v>
          </cell>
          <cell r="E7" t="str">
            <v>บค.วบก.</v>
          </cell>
          <cell r="F7" t="str">
            <v>Maintenance</v>
          </cell>
          <cell r="G7">
            <v>57.549623545516766</v>
          </cell>
          <cell r="H7" t="str">
            <v>Male</v>
          </cell>
          <cell r="I7" t="str">
            <v>สูบ 6-8 มวนต่อวัน</v>
          </cell>
          <cell r="J7">
            <v>144</v>
          </cell>
          <cell r="K7">
            <v>164</v>
          </cell>
          <cell r="L7">
            <v>64.2</v>
          </cell>
          <cell r="M7">
            <v>23.869720404521118</v>
          </cell>
          <cell r="N7">
            <v>82</v>
          </cell>
          <cell r="O7" t="str">
            <v>โรคความดันโลหิตสูง</v>
          </cell>
          <cell r="P7">
            <v>107</v>
          </cell>
          <cell r="Q7">
            <v>219</v>
          </cell>
          <cell r="R7">
            <v>1</v>
          </cell>
          <cell r="S7">
            <v>1</v>
          </cell>
          <cell r="T7">
            <v>0</v>
          </cell>
          <cell r="U7">
            <v>8.9886756947296362</v>
          </cell>
          <cell r="V7">
            <v>22.276256717683406</v>
          </cell>
          <cell r="W7" t="str">
            <v>ความเสี่ยงสูง</v>
          </cell>
        </row>
        <row r="8">
          <cell r="A8">
            <v>480049</v>
          </cell>
          <cell r="B8" t="str">
            <v>นาย</v>
          </cell>
          <cell r="C8" t="str">
            <v>จิรพงศ์</v>
          </cell>
          <cell r="D8" t="str">
            <v>รู้แนบเนียน</v>
          </cell>
          <cell r="E8" t="str">
            <v>บค.วบก.</v>
          </cell>
          <cell r="F8" t="str">
            <v>Maintenance</v>
          </cell>
          <cell r="G8">
            <v>45.500342231348391</v>
          </cell>
          <cell r="H8" t="str">
            <v>Male</v>
          </cell>
          <cell r="I8" t="str">
            <v>สูบ 5-10 มวนต่อวัน</v>
          </cell>
          <cell r="J8">
            <v>154</v>
          </cell>
          <cell r="K8">
            <v>178</v>
          </cell>
          <cell r="L8">
            <v>106.5</v>
          </cell>
          <cell r="M8">
            <v>33.613180154020959</v>
          </cell>
          <cell r="N8">
            <v>114</v>
          </cell>
          <cell r="O8" t="str">
            <v>โรคเบาหวาน</v>
          </cell>
          <cell r="P8">
            <v>186</v>
          </cell>
          <cell r="Q8">
            <v>245</v>
          </cell>
          <cell r="R8">
            <v>1</v>
          </cell>
          <cell r="S8">
            <v>1</v>
          </cell>
          <cell r="T8">
            <v>1</v>
          </cell>
          <cell r="U8">
            <v>8.9659430047912387</v>
          </cell>
          <cell r="V8">
            <v>21.834762685284538</v>
          </cell>
          <cell r="W8" t="str">
            <v>ความเสี่ยงสูง</v>
          </cell>
        </row>
        <row r="9">
          <cell r="A9">
            <v>340011</v>
          </cell>
          <cell r="B9" t="str">
            <v>นาย</v>
          </cell>
          <cell r="C9" t="str">
            <v>ลิขิต</v>
          </cell>
          <cell r="D9" t="str">
            <v>ยอดเสน่หา</v>
          </cell>
          <cell r="E9" t="str">
            <v>คผ.D ปล.</v>
          </cell>
          <cell r="F9" t="str">
            <v>Operation</v>
          </cell>
          <cell r="G9">
            <v>57.393566050650243</v>
          </cell>
          <cell r="H9" t="str">
            <v>Male</v>
          </cell>
          <cell r="I9" t="str">
            <v>สูบ 10 มวนต่อวัน</v>
          </cell>
          <cell r="J9">
            <v>135</v>
          </cell>
          <cell r="K9">
            <v>172.5</v>
          </cell>
          <cell r="L9">
            <v>67.900000000000006</v>
          </cell>
          <cell r="M9">
            <v>22.818735559756352</v>
          </cell>
          <cell r="N9">
            <v>91</v>
          </cell>
          <cell r="O9" t="str">
            <v>ต้อหิน,กระดูกทับเส้น</v>
          </cell>
          <cell r="P9">
            <v>95</v>
          </cell>
          <cell r="Q9">
            <v>210</v>
          </cell>
          <cell r="R9">
            <v>1</v>
          </cell>
          <cell r="S9">
            <v>1</v>
          </cell>
          <cell r="T9">
            <v>0</v>
          </cell>
          <cell r="U9">
            <v>8.7692655099247094</v>
          </cell>
          <cell r="V9">
            <v>18.320048071882244</v>
          </cell>
          <cell r="W9" t="str">
            <v>ความเสี่ยงปานกลาง</v>
          </cell>
        </row>
        <row r="10">
          <cell r="A10">
            <v>340108</v>
          </cell>
          <cell r="B10" t="str">
            <v>นาย</v>
          </cell>
          <cell r="C10" t="str">
            <v>อำนาจ</v>
          </cell>
          <cell r="D10" t="str">
            <v>ด้วงจุ้ย</v>
          </cell>
          <cell r="E10" t="str">
            <v>ปล.ยยก.</v>
          </cell>
          <cell r="F10" t="str">
            <v>Operation</v>
          </cell>
          <cell r="G10">
            <v>55.206023271731681</v>
          </cell>
          <cell r="H10" t="str">
            <v>Male</v>
          </cell>
          <cell r="I10" t="str">
            <v>ไม่สูบ</v>
          </cell>
          <cell r="J10">
            <v>153</v>
          </cell>
          <cell r="K10">
            <v>167.5</v>
          </cell>
          <cell r="L10">
            <v>63</v>
          </cell>
          <cell r="M10">
            <v>22.454889730452216</v>
          </cell>
          <cell r="N10">
            <v>79</v>
          </cell>
          <cell r="O10" t="str">
            <v>ไตเรื้อรัง</v>
          </cell>
          <cell r="P10">
            <v>92</v>
          </cell>
          <cell r="Q10">
            <v>222</v>
          </cell>
          <cell r="R10">
            <v>1</v>
          </cell>
          <cell r="S10">
            <v>0</v>
          </cell>
          <cell r="T10">
            <v>0</v>
          </cell>
          <cell r="U10">
            <v>8.571658884325803</v>
          </cell>
          <cell r="V10">
            <v>15.301870981788957</v>
          </cell>
          <cell r="W10" t="str">
            <v>ความเสี่ยงปานกลาง</v>
          </cell>
        </row>
        <row r="11">
          <cell r="A11">
            <v>330077</v>
          </cell>
          <cell r="B11" t="str">
            <v>นาย</v>
          </cell>
          <cell r="C11" t="str">
            <v>อำนาจ</v>
          </cell>
          <cell r="D11" t="str">
            <v>อุดม</v>
          </cell>
          <cell r="E11" t="str">
            <v>ยรก.</v>
          </cell>
          <cell r="F11" t="str">
            <v>Operation</v>
          </cell>
          <cell r="G11">
            <v>56.539356605065024</v>
          </cell>
          <cell r="H11" t="str">
            <v>Male</v>
          </cell>
          <cell r="I11" t="str">
            <v>ไม่สูบ</v>
          </cell>
          <cell r="J11">
            <v>135</v>
          </cell>
          <cell r="K11">
            <v>172.5</v>
          </cell>
          <cell r="L11">
            <v>65.8</v>
          </cell>
          <cell r="M11">
            <v>22.113001470279354</v>
          </cell>
          <cell r="N11">
            <v>79</v>
          </cell>
          <cell r="O11" t="str">
            <v>ไตเรื้อรัง</v>
          </cell>
          <cell r="P11">
            <v>86</v>
          </cell>
          <cell r="Q11">
            <v>142</v>
          </cell>
          <cell r="R11">
            <v>1</v>
          </cell>
          <cell r="S11">
            <v>0</v>
          </cell>
          <cell r="T11">
            <v>0</v>
          </cell>
          <cell r="U11">
            <v>8.1360455509924705</v>
          </cell>
          <cell r="V11">
            <v>10.18602981269745</v>
          </cell>
          <cell r="W11" t="str">
            <v>ความเสี่ยงปานกลาง</v>
          </cell>
        </row>
        <row r="12">
          <cell r="A12">
            <v>350076</v>
          </cell>
          <cell r="B12" t="str">
            <v>นาย</v>
          </cell>
          <cell r="C12" t="str">
            <v>ดิลก</v>
          </cell>
          <cell r="D12" t="str">
            <v>แป้นเนียม</v>
          </cell>
          <cell r="E12" t="str">
            <v>คผ.B ปผ.</v>
          </cell>
          <cell r="F12" t="str">
            <v>Operation</v>
          </cell>
          <cell r="G12">
            <v>55.868583162217647</v>
          </cell>
          <cell r="H12" t="str">
            <v>Male</v>
          </cell>
          <cell r="I12" t="str">
            <v>ไม่สูบ</v>
          </cell>
          <cell r="J12">
            <v>138</v>
          </cell>
          <cell r="K12">
            <v>163</v>
          </cell>
          <cell r="L12">
            <v>58.8</v>
          </cell>
          <cell r="M12">
            <v>22.131054988896835</v>
          </cell>
          <cell r="N12">
            <v>80</v>
          </cell>
          <cell r="O12" t="str">
            <v>มี</v>
          </cell>
          <cell r="P12">
            <v>92</v>
          </cell>
          <cell r="Q12">
            <v>233</v>
          </cell>
          <cell r="R12">
            <v>1</v>
          </cell>
          <cell r="S12">
            <v>0</v>
          </cell>
          <cell r="T12">
            <v>0</v>
          </cell>
          <cell r="U12">
            <v>8.3365961601642695</v>
          </cell>
          <cell r="V12">
            <v>12.303407569281099</v>
          </cell>
          <cell r="W12" t="str">
            <v>ความเสี่ยงปานกลาง</v>
          </cell>
        </row>
        <row r="13">
          <cell r="A13">
            <v>410054</v>
          </cell>
          <cell r="B13" t="str">
            <v>นาย</v>
          </cell>
          <cell r="C13" t="str">
            <v>กิตติ</v>
          </cell>
          <cell r="D13" t="str">
            <v>เกษตรธรรม</v>
          </cell>
          <cell r="E13" t="str">
            <v>ปภ.ผยก.</v>
          </cell>
          <cell r="F13" t="str">
            <v>Support</v>
          </cell>
          <cell r="G13">
            <v>59.578370978781656</v>
          </cell>
          <cell r="H13" t="str">
            <v>Male</v>
          </cell>
          <cell r="I13" t="str">
            <v>ไม่สูบ</v>
          </cell>
          <cell r="J13">
            <v>123</v>
          </cell>
          <cell r="K13">
            <v>168</v>
          </cell>
          <cell r="L13">
            <v>73.599999999999994</v>
          </cell>
          <cell r="M13">
            <v>26.077097505668934</v>
          </cell>
          <cell r="N13">
            <v>94</v>
          </cell>
          <cell r="O13" t="str">
            <v>โรคเก๊าท์</v>
          </cell>
          <cell r="P13">
            <v>94</v>
          </cell>
          <cell r="Q13">
            <v>257</v>
          </cell>
          <cell r="R13">
            <v>1</v>
          </cell>
          <cell r="S13">
            <v>0</v>
          </cell>
          <cell r="T13">
            <v>0</v>
          </cell>
          <cell r="U13">
            <v>8.3784480971937025</v>
          </cell>
          <cell r="V13">
            <v>12.794114636932241</v>
          </cell>
          <cell r="W13" t="str">
            <v>ความเสี่ยงปานกลาง</v>
          </cell>
        </row>
        <row r="14">
          <cell r="A14">
            <v>330026</v>
          </cell>
          <cell r="B14" t="str">
            <v>นาง</v>
          </cell>
          <cell r="C14" t="str">
            <v>ติรวัฒนา</v>
          </cell>
          <cell r="D14" t="str">
            <v>คุ้มวงศ์ดี</v>
          </cell>
          <cell r="E14" t="str">
            <v>กช.บรก.</v>
          </cell>
          <cell r="F14" t="str">
            <v>Support</v>
          </cell>
          <cell r="G14">
            <v>59.644079397672819</v>
          </cell>
          <cell r="H14" t="str">
            <v>Female</v>
          </cell>
          <cell r="I14" t="str">
            <v>ไม่สูบ</v>
          </cell>
          <cell r="J14">
            <v>130</v>
          </cell>
          <cell r="K14">
            <v>161</v>
          </cell>
          <cell r="L14">
            <v>70.900000000000006</v>
          </cell>
          <cell r="M14">
            <v>27.352339801705181</v>
          </cell>
          <cell r="N14">
            <v>82</v>
          </cell>
          <cell r="O14" t="str">
            <v>ไม่มี</v>
          </cell>
          <cell r="P14">
            <v>75</v>
          </cell>
          <cell r="Q14">
            <v>269</v>
          </cell>
          <cell r="R14">
            <v>0</v>
          </cell>
          <cell r="S14">
            <v>0</v>
          </cell>
          <cell r="T14">
            <v>0</v>
          </cell>
          <cell r="U14">
            <v>8.1601550171115669</v>
          </cell>
          <cell r="V14">
            <v>10.421172969964754</v>
          </cell>
          <cell r="W14" t="str">
            <v>ความเสี่ยงปานกลาง</v>
          </cell>
        </row>
        <row r="15">
          <cell r="A15">
            <v>340008</v>
          </cell>
          <cell r="B15" t="str">
            <v>นาย</v>
          </cell>
          <cell r="C15" t="str">
            <v>ณฐกร</v>
          </cell>
          <cell r="D15" t="str">
            <v>เกตุสกุล</v>
          </cell>
          <cell r="E15" t="str">
            <v>คผ.D ปล.</v>
          </cell>
          <cell r="F15" t="str">
            <v>Operation</v>
          </cell>
          <cell r="G15">
            <v>57.46748802190281</v>
          </cell>
          <cell r="H15" t="str">
            <v>Male</v>
          </cell>
          <cell r="I15" t="str">
            <v>ไม่สูบ</v>
          </cell>
          <cell r="J15">
            <v>138</v>
          </cell>
          <cell r="K15">
            <v>175</v>
          </cell>
          <cell r="L15">
            <v>83</v>
          </cell>
          <cell r="M15">
            <v>27.102040816326532</v>
          </cell>
          <cell r="N15">
            <v>98</v>
          </cell>
          <cell r="O15" t="str">
            <v>ไม่มี</v>
          </cell>
          <cell r="P15">
            <v>84</v>
          </cell>
          <cell r="Q15">
            <v>247</v>
          </cell>
          <cell r="R15">
            <v>1</v>
          </cell>
          <cell r="S15">
            <v>0</v>
          </cell>
          <cell r="T15">
            <v>0</v>
          </cell>
          <cell r="U15">
            <v>8.4971145448323071</v>
          </cell>
          <cell r="V15">
            <v>14.28537960387446</v>
          </cell>
          <cell r="W15" t="str">
            <v>ความเสี่ยงปานกลาง</v>
          </cell>
        </row>
        <row r="16">
          <cell r="A16">
            <v>360075</v>
          </cell>
          <cell r="B16" t="str">
            <v>นาย</v>
          </cell>
          <cell r="C16" t="str">
            <v>ธงชัย</v>
          </cell>
          <cell r="D16" t="str">
            <v>ช่างสากล</v>
          </cell>
          <cell r="E16" t="str">
            <v>คผ.A ปต.</v>
          </cell>
          <cell r="F16" t="str">
            <v>Operation</v>
          </cell>
          <cell r="G16">
            <v>54.628336755646821</v>
          </cell>
          <cell r="H16" t="str">
            <v>Male</v>
          </cell>
          <cell r="I16" t="str">
            <v>ไม่สูบ</v>
          </cell>
          <cell r="J16">
            <v>143</v>
          </cell>
          <cell r="K16">
            <v>168</v>
          </cell>
          <cell r="L16">
            <v>68.599999999999994</v>
          </cell>
          <cell r="M16">
            <v>24.305555555555557</v>
          </cell>
          <cell r="N16">
            <v>87</v>
          </cell>
          <cell r="O16" t="str">
            <v>ไขมันในเลือดสูง มีปัญหาลิ้นหัวใจ</v>
          </cell>
          <cell r="P16">
            <v>120</v>
          </cell>
          <cell r="Q16">
            <v>193</v>
          </cell>
          <cell r="R16">
            <v>1</v>
          </cell>
          <cell r="S16">
            <v>0</v>
          </cell>
          <cell r="T16">
            <v>0</v>
          </cell>
          <cell r="U16">
            <v>8.2545067967145798</v>
          </cell>
          <cell r="V16">
            <v>11.391319090889084</v>
          </cell>
          <cell r="W16" t="str">
            <v>ความเสี่ยงปานกลาง</v>
          </cell>
        </row>
        <row r="17">
          <cell r="A17">
            <v>340019</v>
          </cell>
          <cell r="B17" t="str">
            <v>นาย</v>
          </cell>
          <cell r="C17" t="str">
            <v>ถวิล</v>
          </cell>
          <cell r="D17" t="str">
            <v>ปาปะแพ</v>
          </cell>
          <cell r="E17" t="str">
            <v>บฟ.วบก.</v>
          </cell>
          <cell r="F17" t="str">
            <v>Maintenance</v>
          </cell>
          <cell r="G17">
            <v>59.627652292950025</v>
          </cell>
          <cell r="H17" t="str">
            <v>Male</v>
          </cell>
          <cell r="I17" t="str">
            <v>ไม่สูบ</v>
          </cell>
          <cell r="J17">
            <v>128</v>
          </cell>
          <cell r="K17">
            <v>164</v>
          </cell>
          <cell r="L17">
            <v>75.099999999999994</v>
          </cell>
          <cell r="M17">
            <v>27.922367638310526</v>
          </cell>
          <cell r="N17">
            <v>88</v>
          </cell>
          <cell r="O17" t="str">
            <v>ไม่มี</v>
          </cell>
          <cell r="P17">
            <v>100</v>
          </cell>
          <cell r="Q17">
            <v>166</v>
          </cell>
          <cell r="R17">
            <v>1</v>
          </cell>
          <cell r="S17">
            <v>0</v>
          </cell>
          <cell r="T17">
            <v>0</v>
          </cell>
          <cell r="U17">
            <v>8.2937607871321006</v>
          </cell>
          <cell r="V17">
            <v>11.819307630610377</v>
          </cell>
          <cell r="W17" t="str">
            <v>ความเสี่ยงปานกลาง</v>
          </cell>
        </row>
        <row r="18">
          <cell r="A18">
            <v>480225</v>
          </cell>
          <cell r="B18" t="str">
            <v>นาย</v>
          </cell>
          <cell r="C18" t="str">
            <v>นิวัฒน์</v>
          </cell>
          <cell r="D18" t="str">
            <v>หิงสันเทียะ</v>
          </cell>
          <cell r="E18" t="str">
            <v>คผ.C ปผ.</v>
          </cell>
          <cell r="F18" t="str">
            <v>Operation</v>
          </cell>
          <cell r="G18">
            <v>45.464750171115661</v>
          </cell>
          <cell r="H18" t="str">
            <v>Male</v>
          </cell>
          <cell r="I18" t="str">
            <v>ไม่สูบ</v>
          </cell>
          <cell r="J18">
            <v>161</v>
          </cell>
          <cell r="K18">
            <v>177</v>
          </cell>
          <cell r="L18">
            <v>95.7</v>
          </cell>
          <cell r="M18">
            <v>30.546777745858467</v>
          </cell>
          <cell r="N18">
            <v>104</v>
          </cell>
          <cell r="O18" t="str">
            <v>โรคเก๊าท์</v>
          </cell>
          <cell r="P18">
            <v>134</v>
          </cell>
          <cell r="Q18">
            <v>306</v>
          </cell>
          <cell r="R18">
            <v>1</v>
          </cell>
          <cell r="S18">
            <v>0</v>
          </cell>
          <cell r="T18">
            <v>0</v>
          </cell>
          <cell r="U18">
            <v>8.1193305065023953</v>
          </cell>
          <cell r="V18">
            <v>10.025949553239609</v>
          </cell>
          <cell r="W18" t="str">
            <v>ความเสี่ยงปานกลาง</v>
          </cell>
        </row>
        <row r="19">
          <cell r="A19">
            <v>360094</v>
          </cell>
          <cell r="B19" t="str">
            <v>นาย</v>
          </cell>
          <cell r="C19" t="str">
            <v>พรชัย</v>
          </cell>
          <cell r="D19" t="str">
            <v>จันทร์อุดมสุข</v>
          </cell>
          <cell r="E19" t="str">
            <v>คผ.B ปผ.</v>
          </cell>
          <cell r="F19" t="str">
            <v>Operation</v>
          </cell>
          <cell r="G19">
            <v>54.839151266255989</v>
          </cell>
          <cell r="H19" t="str">
            <v>Male</v>
          </cell>
          <cell r="I19" t="str">
            <v>ไม่สูบ</v>
          </cell>
          <cell r="J19">
            <v>136</v>
          </cell>
          <cell r="K19">
            <v>177</v>
          </cell>
          <cell r="L19">
            <v>117.5</v>
          </cell>
          <cell r="M19">
            <v>37.505186887548277</v>
          </cell>
          <cell r="N19">
            <v>110</v>
          </cell>
          <cell r="O19" t="str">
            <v>โรคความดันโลหิตสูง</v>
          </cell>
          <cell r="P19">
            <v>103</v>
          </cell>
          <cell r="Q19">
            <v>230</v>
          </cell>
          <cell r="R19">
            <v>1</v>
          </cell>
          <cell r="S19">
            <v>0</v>
          </cell>
          <cell r="T19">
            <v>0</v>
          </cell>
          <cell r="U19">
            <v>8.2043177481177274</v>
          </cell>
          <cell r="V19">
            <v>10.865193045320554</v>
          </cell>
          <cell r="W19" t="str">
            <v>ความเสี่ยงปานกลาง</v>
          </cell>
        </row>
        <row r="20">
          <cell r="A20">
            <v>350064</v>
          </cell>
          <cell r="B20" t="str">
            <v>นาย</v>
          </cell>
          <cell r="C20" t="str">
            <v>ชิด</v>
          </cell>
          <cell r="D20" t="str">
            <v>ใจมั่น</v>
          </cell>
          <cell r="E20" t="str">
            <v>คผ.B ปผ.</v>
          </cell>
          <cell r="F20" t="str">
            <v>Operation</v>
          </cell>
          <cell r="G20">
            <v>56.361396303901429</v>
          </cell>
          <cell r="H20" t="str">
            <v>Male</v>
          </cell>
          <cell r="I20" t="str">
            <v>ไม่สูบ</v>
          </cell>
          <cell r="J20">
            <v>133</v>
          </cell>
          <cell r="K20">
            <v>162.5</v>
          </cell>
          <cell r="L20">
            <v>79.5</v>
          </cell>
          <cell r="M20">
            <v>30.106508875739642</v>
          </cell>
          <cell r="N20">
            <v>100</v>
          </cell>
          <cell r="O20" t="str">
            <v>โรคความดันโลหิตสูง, โรคเบาหวาน, ไขมันในเลือดสูง</v>
          </cell>
          <cell r="P20">
            <v>111</v>
          </cell>
          <cell r="Q20">
            <v>168</v>
          </cell>
          <cell r="R20">
            <v>1</v>
          </cell>
          <cell r="S20">
            <v>0</v>
          </cell>
          <cell r="T20">
            <v>1</v>
          </cell>
          <cell r="U20">
            <v>8.8346630595482534</v>
          </cell>
          <cell r="V20">
            <v>19.429521642645408</v>
          </cell>
          <cell r="W20" t="str">
            <v>ความเสี่ยงปานกลาง</v>
          </cell>
        </row>
        <row r="21">
          <cell r="A21">
            <v>490048</v>
          </cell>
          <cell r="B21" t="str">
            <v>นาย</v>
          </cell>
          <cell r="C21" t="str">
            <v>ศุภฤกษ์</v>
          </cell>
          <cell r="D21" t="str">
            <v>เนคมานุรักษ์</v>
          </cell>
          <cell r="E21" t="str">
            <v>บง.วบก.</v>
          </cell>
          <cell r="F21" t="str">
            <v>Maintenance</v>
          </cell>
          <cell r="G21">
            <v>46.455852156057496</v>
          </cell>
          <cell r="H21" t="str">
            <v>Male</v>
          </cell>
          <cell r="I21" t="str">
            <v>ไม่ระบุ</v>
          </cell>
          <cell r="J21">
            <v>114</v>
          </cell>
          <cell r="K21">
            <v>162.5</v>
          </cell>
          <cell r="L21">
            <v>70.3</v>
          </cell>
          <cell r="M21">
            <v>26.622485207100592</v>
          </cell>
          <cell r="N21">
            <v>99</v>
          </cell>
          <cell r="O21" t="str">
            <v>โรคเบาหวาน</v>
          </cell>
          <cell r="P21">
            <v>305</v>
          </cell>
          <cell r="Q21">
            <v>304</v>
          </cell>
          <cell r="R21">
            <v>1</v>
          </cell>
          <cell r="S21">
            <v>1</v>
          </cell>
          <cell r="T21">
            <v>1</v>
          </cell>
          <cell r="U21">
            <v>8.3356123819301846</v>
          </cell>
          <cell r="V21">
            <v>12.292085741391091</v>
          </cell>
          <cell r="W21" t="str">
            <v>ความเสี่ยงปานกลาง</v>
          </cell>
        </row>
        <row r="22">
          <cell r="A22">
            <v>320139</v>
          </cell>
          <cell r="B22" t="str">
            <v>นาย</v>
          </cell>
          <cell r="C22" t="str">
            <v>ไพรัช</v>
          </cell>
          <cell r="D22" t="str">
            <v>เบญจวรรณ</v>
          </cell>
          <cell r="E22" t="str">
            <v>คผ.C ปผ.</v>
          </cell>
          <cell r="F22" t="str">
            <v>Operation</v>
          </cell>
          <cell r="G22">
            <v>57.782340862422998</v>
          </cell>
          <cell r="H22" t="str">
            <v>Male</v>
          </cell>
          <cell r="I22" t="str">
            <v>ไม่สูบ</v>
          </cell>
          <cell r="J22">
            <v>138</v>
          </cell>
          <cell r="K22">
            <v>160.5</v>
          </cell>
          <cell r="L22">
            <v>61</v>
          </cell>
          <cell r="M22">
            <v>23.679894410962625</v>
          </cell>
          <cell r="N22">
            <v>82</v>
          </cell>
          <cell r="O22" t="str">
            <v>โรคภูมิแพ้</v>
          </cell>
          <cell r="P22">
            <v>85</v>
          </cell>
          <cell r="Q22">
            <v>189</v>
          </cell>
          <cell r="R22">
            <v>1</v>
          </cell>
          <cell r="S22">
            <v>0</v>
          </cell>
          <cell r="T22">
            <v>0</v>
          </cell>
          <cell r="U22">
            <v>8.3999189527720741</v>
          </cell>
          <cell r="V22">
            <v>13.052828128787175</v>
          </cell>
          <cell r="W22" t="str">
            <v>ความเสี่ยงปานกลาง</v>
          </cell>
        </row>
        <row r="23">
          <cell r="A23">
            <v>410056</v>
          </cell>
          <cell r="B23" t="str">
            <v>นาย</v>
          </cell>
          <cell r="C23" t="str">
            <v>อวสันต์</v>
          </cell>
          <cell r="D23" t="str">
            <v>สารสอน</v>
          </cell>
          <cell r="E23" t="str">
            <v>คผ.A ปผ.</v>
          </cell>
          <cell r="F23" t="str">
            <v>Operation</v>
          </cell>
          <cell r="G23">
            <v>49.336071184120456</v>
          </cell>
          <cell r="H23" t="str">
            <v>Male</v>
          </cell>
          <cell r="I23" t="str">
            <v>สูบ 20 มวนต่อวัน</v>
          </cell>
          <cell r="J23">
            <v>130</v>
          </cell>
          <cell r="K23">
            <v>157.5</v>
          </cell>
          <cell r="L23">
            <v>64.900000000000006</v>
          </cell>
          <cell r="M23">
            <v>26.162761400856638</v>
          </cell>
          <cell r="N23">
            <v>93</v>
          </cell>
          <cell r="O23" t="str">
            <v>โรคเบาหวาน โรคความดันโลหิตสูง</v>
          </cell>
          <cell r="P23">
            <v>143</v>
          </cell>
          <cell r="Q23">
            <v>178</v>
          </cell>
          <cell r="R23">
            <v>1</v>
          </cell>
          <cell r="S23">
            <v>1</v>
          </cell>
          <cell r="T23">
            <v>1</v>
          </cell>
          <cell r="U23">
            <v>8.6376207049965767</v>
          </cell>
          <cell r="V23">
            <v>16.255590285363098</v>
          </cell>
          <cell r="W23" t="str">
            <v>ความเสี่ยงปานกลาง</v>
          </cell>
        </row>
        <row r="24">
          <cell r="A24">
            <v>340098</v>
          </cell>
          <cell r="B24" t="str">
            <v>นาย</v>
          </cell>
          <cell r="C24" t="str">
            <v>โชคชัย</v>
          </cell>
          <cell r="D24" t="str">
            <v>เต๊ะขันหมาก</v>
          </cell>
          <cell r="E24" t="str">
            <v>ปต.ยยก.</v>
          </cell>
          <cell r="F24" t="str">
            <v>Operation</v>
          </cell>
          <cell r="G24">
            <v>54.576317590691247</v>
          </cell>
          <cell r="H24" t="str">
            <v>Male</v>
          </cell>
          <cell r="I24" t="str">
            <v>ไม่สูบ</v>
          </cell>
          <cell r="J24">
            <v>134</v>
          </cell>
          <cell r="K24">
            <v>170</v>
          </cell>
          <cell r="L24">
            <v>60.7</v>
          </cell>
          <cell r="M24">
            <v>21.003460207612456</v>
          </cell>
          <cell r="N24">
            <v>76</v>
          </cell>
          <cell r="O24" t="str">
            <v>โรคภูมิแพ้</v>
          </cell>
          <cell r="P24">
            <v>96</v>
          </cell>
          <cell r="Q24">
            <v>274</v>
          </cell>
          <cell r="R24">
            <v>1</v>
          </cell>
          <cell r="S24">
            <v>0</v>
          </cell>
          <cell r="T24">
            <v>0</v>
          </cell>
          <cell r="U24">
            <v>8.2344100684462642</v>
          </cell>
          <cell r="V24">
            <v>11.177848111411437</v>
          </cell>
          <cell r="W24" t="str">
            <v>ความเสี่ยงปานกลาง</v>
          </cell>
        </row>
        <row r="25">
          <cell r="A25">
            <v>420019</v>
          </cell>
          <cell r="B25" t="str">
            <v>นาย</v>
          </cell>
          <cell r="C25" t="str">
            <v>ชรัณพงษ์</v>
          </cell>
          <cell r="D25" t="str">
            <v>คล้ายลำเจียก</v>
          </cell>
          <cell r="E25" t="str">
            <v>กผ.ทผก.</v>
          </cell>
          <cell r="F25" t="str">
            <v>Support</v>
          </cell>
          <cell r="G25">
            <v>53.817932922655714</v>
          </cell>
          <cell r="H25" t="str">
            <v>Male</v>
          </cell>
          <cell r="I25" t="str">
            <v>ไม่สูบ</v>
          </cell>
          <cell r="J25">
            <v>139</v>
          </cell>
          <cell r="K25">
            <v>177.5</v>
          </cell>
          <cell r="L25">
            <v>65.5</v>
          </cell>
          <cell r="M25">
            <v>20.789525887720689</v>
          </cell>
          <cell r="N25">
            <v>82</v>
          </cell>
          <cell r="O25" t="str">
            <v>โรคเบาหวาน</v>
          </cell>
          <cell r="P25">
            <v>150</v>
          </cell>
          <cell r="Q25">
            <v>213</v>
          </cell>
          <cell r="R25">
            <v>1</v>
          </cell>
          <cell r="S25">
            <v>0</v>
          </cell>
          <cell r="T25">
            <v>1</v>
          </cell>
          <cell r="U25">
            <v>8.8469714510609183</v>
          </cell>
          <cell r="V25">
            <v>19.644800693304276</v>
          </cell>
          <cell r="W25" t="str">
            <v>ความเสี่ยงปานกลาง</v>
          </cell>
        </row>
        <row r="26">
          <cell r="A26">
            <v>340106</v>
          </cell>
          <cell r="B26" t="str">
            <v>นาย</v>
          </cell>
          <cell r="C26" t="str">
            <v>อินทรัตถ์</v>
          </cell>
          <cell r="D26" t="str">
            <v>ทั่วทิพย์</v>
          </cell>
          <cell r="E26" t="str">
            <v>บง.วบก.</v>
          </cell>
          <cell r="F26" t="str">
            <v>Maintenance</v>
          </cell>
          <cell r="G26">
            <v>57.760438056125942</v>
          </cell>
          <cell r="H26" t="str">
            <v>Male</v>
          </cell>
          <cell r="I26" t="str">
            <v>สูบ 3 มวนต่อวัน</v>
          </cell>
          <cell r="J26">
            <v>118</v>
          </cell>
          <cell r="K26">
            <v>183.5</v>
          </cell>
          <cell r="L26">
            <v>74</v>
          </cell>
          <cell r="M26">
            <v>21.976553393372882</v>
          </cell>
          <cell r="N26">
            <v>89</v>
          </cell>
          <cell r="O26" t="str">
            <v>ไม่มี</v>
          </cell>
          <cell r="P26">
            <v>101</v>
          </cell>
          <cell r="Q26">
            <v>194</v>
          </cell>
          <cell r="R26">
            <v>1</v>
          </cell>
          <cell r="S26">
            <v>1</v>
          </cell>
          <cell r="T26">
            <v>0</v>
          </cell>
          <cell r="U26">
            <v>8.4110866461327856</v>
          </cell>
          <cell r="V26">
            <v>13.189295278654233</v>
          </cell>
          <cell r="W26" t="str">
            <v>ความเสี่ยงปานกลาง</v>
          </cell>
        </row>
        <row r="27">
          <cell r="A27">
            <v>340118</v>
          </cell>
          <cell r="B27" t="str">
            <v>นาย</v>
          </cell>
          <cell r="C27" t="str">
            <v>นาวิน</v>
          </cell>
          <cell r="D27" t="str">
            <v>ผลสว่าง</v>
          </cell>
          <cell r="E27" t="str">
            <v>วก.วบก.</v>
          </cell>
          <cell r="F27" t="str">
            <v>Maintenance</v>
          </cell>
          <cell r="G27">
            <v>58.160164271047229</v>
          </cell>
          <cell r="H27" t="str">
            <v>Male</v>
          </cell>
          <cell r="I27" t="str">
            <v>ไม่สูบ</v>
          </cell>
          <cell r="J27">
            <v>129</v>
          </cell>
          <cell r="K27">
            <v>165.5</v>
          </cell>
          <cell r="L27">
            <v>58.4</v>
          </cell>
          <cell r="M27">
            <v>21.321455627458676</v>
          </cell>
          <cell r="N27">
            <v>76</v>
          </cell>
          <cell r="O27" t="str">
            <v>โรคความดันโลหิตสูง</v>
          </cell>
          <cell r="P27">
            <v>89</v>
          </cell>
          <cell r="Q27">
            <v>234</v>
          </cell>
          <cell r="R27">
            <v>1</v>
          </cell>
          <cell r="S27">
            <v>0</v>
          </cell>
          <cell r="T27">
            <v>0</v>
          </cell>
          <cell r="U27">
            <v>8.338676242299794</v>
          </cell>
          <cell r="V27">
            <v>12.32737810826473</v>
          </cell>
          <cell r="W27" t="str">
            <v>ความเสี่ยงปานกลาง</v>
          </cell>
        </row>
        <row r="28">
          <cell r="A28">
            <v>340145</v>
          </cell>
          <cell r="B28" t="str">
            <v>นาย</v>
          </cell>
          <cell r="C28" t="str">
            <v>คนึง</v>
          </cell>
          <cell r="D28" t="str">
            <v>อิ่มสมบูรณ์</v>
          </cell>
          <cell r="E28" t="str">
            <v>บง.วบก.</v>
          </cell>
          <cell r="F28" t="str">
            <v>Maintenance</v>
          </cell>
          <cell r="G28">
            <v>57.57973990417522</v>
          </cell>
          <cell r="H28" t="str">
            <v>Male</v>
          </cell>
          <cell r="I28" t="str">
            <v>ไม่สูบ</v>
          </cell>
          <cell r="J28">
            <v>136</v>
          </cell>
          <cell r="K28">
            <v>174.5</v>
          </cell>
          <cell r="L28">
            <v>77.599999999999994</v>
          </cell>
          <cell r="M28">
            <v>25.484191426999775</v>
          </cell>
          <cell r="N28">
            <v>95</v>
          </cell>
          <cell r="O28" t="str">
            <v>ไม่มี</v>
          </cell>
          <cell r="P28">
            <v>98</v>
          </cell>
          <cell r="Q28">
            <v>270</v>
          </cell>
          <cell r="R28">
            <v>1</v>
          </cell>
          <cell r="S28">
            <v>0</v>
          </cell>
          <cell r="T28">
            <v>0</v>
          </cell>
          <cell r="U28">
            <v>8.5133801163586575</v>
          </cell>
          <cell r="V28">
            <v>14.501774345143236</v>
          </cell>
          <cell r="W28" t="str">
            <v>ความเสี่ยงปานกลาง</v>
          </cell>
        </row>
        <row r="29">
          <cell r="A29">
            <v>480214</v>
          </cell>
          <cell r="B29" t="str">
            <v>นาย</v>
          </cell>
          <cell r="C29" t="str">
            <v>กิตติ</v>
          </cell>
          <cell r="D29" t="str">
            <v>ปิ่นแก้ว</v>
          </cell>
          <cell r="E29" t="str">
            <v>ผ.ปก.C ปอ.</v>
          </cell>
          <cell r="F29" t="str">
            <v>Operation</v>
          </cell>
          <cell r="G29">
            <v>42.116358658453116</v>
          </cell>
          <cell r="H29" t="str">
            <v>Male</v>
          </cell>
          <cell r="I29" t="str">
            <v>ไม่สูบ</v>
          </cell>
          <cell r="J29">
            <v>177</v>
          </cell>
          <cell r="K29">
            <v>167.5</v>
          </cell>
          <cell r="L29">
            <v>98.4</v>
          </cell>
          <cell r="M29">
            <v>35.072399198039648</v>
          </cell>
          <cell r="N29">
            <v>112</v>
          </cell>
          <cell r="O29" t="str">
            <v>โรคเก๊าท์</v>
          </cell>
          <cell r="P29">
            <v>111</v>
          </cell>
          <cell r="Q29">
            <v>352</v>
          </cell>
          <cell r="R29">
            <v>1</v>
          </cell>
          <cell r="S29">
            <v>0</v>
          </cell>
          <cell r="T29">
            <v>0</v>
          </cell>
          <cell r="U29">
            <v>8.2762916290212178</v>
          </cell>
          <cell r="V29">
            <v>11.627020714882919</v>
          </cell>
          <cell r="W29" t="str">
            <v>ความเสี่ยงปานกลาง</v>
          </cell>
        </row>
        <row r="30">
          <cell r="A30">
            <v>340109</v>
          </cell>
          <cell r="B30" t="str">
            <v>นาย</v>
          </cell>
          <cell r="C30" t="str">
            <v>รณชัย</v>
          </cell>
          <cell r="D30" t="str">
            <v>ยุทธสุขประเสริฐ</v>
          </cell>
          <cell r="E30" t="str">
            <v>คผ.C ปต.</v>
          </cell>
          <cell r="F30" t="str">
            <v>Operation</v>
          </cell>
          <cell r="G30">
            <v>53.828884325804246</v>
          </cell>
          <cell r="H30" t="str">
            <v>Male</v>
          </cell>
          <cell r="I30" t="str">
            <v>ไม่สูบ</v>
          </cell>
          <cell r="J30">
            <v>132</v>
          </cell>
          <cell r="K30">
            <v>164</v>
          </cell>
          <cell r="L30">
            <v>66.2</v>
          </cell>
          <cell r="M30">
            <v>24.613325401546696</v>
          </cell>
          <cell r="N30">
            <v>89</v>
          </cell>
          <cell r="O30" t="str">
            <v>โรคความดันโลหิตสูง, โรคเบาหวาน, ไขมันในเลือดสูง</v>
          </cell>
          <cell r="P30">
            <v>179</v>
          </cell>
          <cell r="Q30">
            <v>132</v>
          </cell>
          <cell r="R30">
            <v>1</v>
          </cell>
          <cell r="S30">
            <v>0</v>
          </cell>
          <cell r="T30">
            <v>1</v>
          </cell>
          <cell r="U30">
            <v>8.5302676043805619</v>
          </cell>
          <cell r="V30">
            <v>14.729605752499564</v>
          </cell>
          <cell r="W30" t="str">
            <v>ความเสี่ยงปานกลาง</v>
          </cell>
        </row>
        <row r="31">
          <cell r="A31">
            <v>420060</v>
          </cell>
          <cell r="B31" t="str">
            <v>นาย</v>
          </cell>
          <cell r="C31" t="str">
            <v>พัฒนพงษ์</v>
          </cell>
          <cell r="D31" t="str">
            <v>กรองสโรชกุล</v>
          </cell>
          <cell r="E31" t="str">
            <v>บฟ.วบก.</v>
          </cell>
          <cell r="F31" t="str">
            <v>Maintenance</v>
          </cell>
          <cell r="G31">
            <v>47.597535934291578</v>
          </cell>
          <cell r="H31" t="str">
            <v>Male</v>
          </cell>
          <cell r="I31" t="str">
            <v>ไม่สูบ</v>
          </cell>
          <cell r="J31">
            <v>139</v>
          </cell>
          <cell r="K31">
            <v>169.5</v>
          </cell>
          <cell r="L31">
            <v>87.3</v>
          </cell>
          <cell r="M31">
            <v>30.386091314903279</v>
          </cell>
          <cell r="N31">
            <v>100</v>
          </cell>
          <cell r="O31" t="str">
            <v>ไขมันในเลือดสูง , โรคความดันโลหิตสูง , โรคเบาหวาน , โรคเก๊าท์</v>
          </cell>
          <cell r="P31">
            <v>91</v>
          </cell>
          <cell r="Q31">
            <v>164</v>
          </cell>
          <cell r="R31">
            <v>1</v>
          </cell>
          <cell r="S31">
            <v>0</v>
          </cell>
          <cell r="T31">
            <v>1</v>
          </cell>
          <cell r="U31">
            <v>8.2340763655030802</v>
          </cell>
          <cell r="V31">
            <v>11.174335251799118</v>
          </cell>
          <cell r="W31" t="str">
            <v>ความเสี่ยงปานกลาง</v>
          </cell>
        </row>
        <row r="32">
          <cell r="A32">
            <v>340107</v>
          </cell>
          <cell r="B32" t="str">
            <v>นาย</v>
          </cell>
          <cell r="C32" t="str">
            <v>ธนิต</v>
          </cell>
          <cell r="D32" t="str">
            <v>สุขสำราญ</v>
          </cell>
          <cell r="E32" t="str">
            <v>ผ.ปก.D ปก.</v>
          </cell>
          <cell r="F32" t="str">
            <v>Operation</v>
          </cell>
          <cell r="G32">
            <v>56.487337440109506</v>
          </cell>
          <cell r="H32" t="str">
            <v>Male</v>
          </cell>
          <cell r="I32" t="str">
            <v>สูบ 10 มวนต่อวัน</v>
          </cell>
          <cell r="J32">
            <v>138</v>
          </cell>
          <cell r="K32">
            <v>171</v>
          </cell>
          <cell r="L32">
            <v>75.2</v>
          </cell>
          <cell r="M32">
            <v>25.717314729318421</v>
          </cell>
          <cell r="N32">
            <v>101</v>
          </cell>
          <cell r="O32" t="str">
            <v>เส้นเลือดตีบที่ขาข้างขวา</v>
          </cell>
          <cell r="P32">
            <v>93</v>
          </cell>
          <cell r="Q32">
            <v>187</v>
          </cell>
          <cell r="R32">
            <v>1</v>
          </cell>
          <cell r="S32">
            <v>1</v>
          </cell>
          <cell r="T32">
            <v>0</v>
          </cell>
          <cell r="U32">
            <v>8.7088688227241615</v>
          </cell>
          <cell r="V32">
            <v>17.345539448810833</v>
          </cell>
          <cell r="W32" t="str">
            <v>ความเสี่ยงปานกลาง</v>
          </cell>
        </row>
        <row r="33">
          <cell r="A33">
            <v>360071</v>
          </cell>
          <cell r="B33" t="str">
            <v>นาย</v>
          </cell>
          <cell r="C33" t="str">
            <v>กฤษชัย</v>
          </cell>
          <cell r="D33" t="str">
            <v>ก้านขุนทด</v>
          </cell>
          <cell r="E33" t="str">
            <v>คผ.C ปผ.</v>
          </cell>
          <cell r="F33" t="str">
            <v>Operation</v>
          </cell>
          <cell r="G33">
            <v>55.315537303216978</v>
          </cell>
          <cell r="H33" t="str">
            <v>Male</v>
          </cell>
          <cell r="I33" t="str">
            <v>ไม่สูบ</v>
          </cell>
          <cell r="J33">
            <v>142</v>
          </cell>
          <cell r="K33">
            <v>170.5</v>
          </cell>
          <cell r="L33">
            <v>71.400000000000006</v>
          </cell>
          <cell r="M33">
            <v>24.561192284208083</v>
          </cell>
          <cell r="N33">
            <v>94</v>
          </cell>
          <cell r="O33" t="str">
            <v>โรคความดันโลหิตสูง</v>
          </cell>
          <cell r="P33">
            <v>102</v>
          </cell>
          <cell r="Q33">
            <v>272</v>
          </cell>
          <cell r="R33">
            <v>1</v>
          </cell>
          <cell r="S33">
            <v>0</v>
          </cell>
          <cell r="T33">
            <v>0</v>
          </cell>
          <cell r="U33">
            <v>8.4573804175222449</v>
          </cell>
          <cell r="V33">
            <v>13.76913203468202</v>
          </cell>
          <cell r="W33" t="str">
            <v>ความเสี่ยงปานกลาง</v>
          </cell>
        </row>
        <row r="34">
          <cell r="A34">
            <v>410008</v>
          </cell>
          <cell r="B34" t="str">
            <v>นาย</v>
          </cell>
          <cell r="C34" t="str">
            <v>ปิยะ</v>
          </cell>
          <cell r="D34" t="str">
            <v>เงินกระโทก</v>
          </cell>
          <cell r="E34" t="str">
            <v>บค.วบก.</v>
          </cell>
          <cell r="F34" t="str">
            <v>Maintenance</v>
          </cell>
          <cell r="G34">
            <v>50.792607802874741</v>
          </cell>
          <cell r="H34" t="str">
            <v>Male</v>
          </cell>
          <cell r="I34" t="str">
            <v>สูบ 20 มวนต่อวัน</v>
          </cell>
          <cell r="J34">
            <v>138</v>
          </cell>
          <cell r="K34">
            <v>169.5</v>
          </cell>
          <cell r="L34">
            <v>83.7</v>
          </cell>
          <cell r="M34">
            <v>29.133056621505208</v>
          </cell>
          <cell r="N34">
            <v>101</v>
          </cell>
          <cell r="O34" t="str">
            <v>ไม่มี</v>
          </cell>
          <cell r="P34">
            <v>88</v>
          </cell>
          <cell r="Q34">
            <v>250</v>
          </cell>
          <cell r="R34">
            <v>1</v>
          </cell>
          <cell r="S34">
            <v>1</v>
          </cell>
          <cell r="T34">
            <v>0</v>
          </cell>
          <cell r="U34">
            <v>8.3764290965092414</v>
          </cell>
          <cell r="V34">
            <v>12.770032105530294</v>
          </cell>
          <cell r="W34" t="str">
            <v>ความเสี่ยงปานกลาง</v>
          </cell>
        </row>
        <row r="35">
          <cell r="A35">
            <v>340007</v>
          </cell>
          <cell r="B35" t="str">
            <v>นาย</v>
          </cell>
          <cell r="C35" t="str">
            <v>อัครเดช</v>
          </cell>
          <cell r="D35" t="str">
            <v>เดชะเทศ</v>
          </cell>
          <cell r="E35" t="str">
            <v>สยก.</v>
          </cell>
          <cell r="F35" t="str">
            <v>Operation</v>
          </cell>
          <cell r="G35">
            <v>56.046543463381234</v>
          </cell>
          <cell r="H35" t="str">
            <v>Male</v>
          </cell>
          <cell r="I35" t="str">
            <v>ไม่สูบ</v>
          </cell>
          <cell r="J35">
            <v>131</v>
          </cell>
          <cell r="K35">
            <v>169.5</v>
          </cell>
          <cell r="L35">
            <v>66.2</v>
          </cell>
          <cell r="M35">
            <v>23.041915750820131</v>
          </cell>
          <cell r="N35">
            <v>82</v>
          </cell>
          <cell r="O35" t="str">
            <v>โรคเก๊าท์ , ไขมันในเลือดสูง</v>
          </cell>
          <cell r="P35">
            <v>105</v>
          </cell>
          <cell r="Q35">
            <v>251</v>
          </cell>
          <cell r="R35">
            <v>1</v>
          </cell>
          <cell r="S35">
            <v>0</v>
          </cell>
          <cell r="T35">
            <v>0</v>
          </cell>
          <cell r="U35">
            <v>8.2434386516084857</v>
          </cell>
          <cell r="V35">
            <v>11.273284240993743</v>
          </cell>
          <cell r="W35" t="str">
            <v>ความเสี่ยงปานกลาง</v>
          </cell>
        </row>
        <row r="36">
          <cell r="A36">
            <v>480223</v>
          </cell>
          <cell r="B36" t="str">
            <v>นาย</v>
          </cell>
          <cell r="C36" t="str">
            <v>สุรชัย</v>
          </cell>
          <cell r="D36" t="str">
            <v>จากผา</v>
          </cell>
          <cell r="E36" t="str">
            <v>คผ.A ปผ.</v>
          </cell>
          <cell r="F36" t="str">
            <v>Operation</v>
          </cell>
          <cell r="G36">
            <v>45.689253935660318</v>
          </cell>
          <cell r="H36" t="str">
            <v>Male</v>
          </cell>
          <cell r="I36" t="str">
            <v>ไม่สูบ</v>
          </cell>
          <cell r="J36">
            <v>127</v>
          </cell>
          <cell r="K36">
            <v>167</v>
          </cell>
          <cell r="L36">
            <v>75.7</v>
          </cell>
          <cell r="M36">
            <v>27.14331815411094</v>
          </cell>
          <cell r="N36">
            <v>99</v>
          </cell>
          <cell r="O36" t="str">
            <v>โรคเก๊าท์</v>
          </cell>
          <cell r="P36">
            <v>89</v>
          </cell>
          <cell r="Q36">
            <v>156</v>
          </cell>
          <cell r="R36">
            <v>1</v>
          </cell>
          <cell r="S36">
            <v>0</v>
          </cell>
          <cell r="T36">
            <v>0</v>
          </cell>
          <cell r="U36">
            <v>7.1111416495550843</v>
          </cell>
          <cell r="V36">
            <v>3.7815524306620274</v>
          </cell>
          <cell r="W36" t="str">
            <v>ความเสี่ยงต่ำ</v>
          </cell>
        </row>
        <row r="37">
          <cell r="A37">
            <v>470040</v>
          </cell>
          <cell r="B37" t="str">
            <v>นาย</v>
          </cell>
          <cell r="C37" t="str">
            <v>ศราวุธ</v>
          </cell>
          <cell r="D37" t="str">
            <v>สุขเจริญ</v>
          </cell>
          <cell r="E37" t="str">
            <v>บค.วบก.</v>
          </cell>
          <cell r="F37" t="str">
            <v>Maintenance</v>
          </cell>
          <cell r="G37">
            <v>48.591375770020406</v>
          </cell>
          <cell r="H37" t="str">
            <v>Male</v>
          </cell>
          <cell r="I37" t="str">
            <v>ไม่สูบ</v>
          </cell>
          <cell r="J37">
            <v>118</v>
          </cell>
          <cell r="K37">
            <v>171.5</v>
          </cell>
          <cell r="L37">
            <v>60.2</v>
          </cell>
          <cell r="M37">
            <v>20.46766228357232</v>
          </cell>
          <cell r="N37">
            <v>68</v>
          </cell>
          <cell r="O37" t="str">
            <v>ไม่มี</v>
          </cell>
          <cell r="P37">
            <v>88</v>
          </cell>
          <cell r="Q37">
            <v>179</v>
          </cell>
          <cell r="R37">
            <v>1</v>
          </cell>
          <cell r="S37">
            <v>0</v>
          </cell>
          <cell r="T37">
            <v>0</v>
          </cell>
          <cell r="U37">
            <v>7.2098222792607691</v>
          </cell>
          <cell r="V37">
            <v>4.1654725438310169</v>
          </cell>
          <cell r="W37" t="str">
            <v>ความเสี่ยงต่ำ</v>
          </cell>
        </row>
        <row r="38">
          <cell r="A38">
            <v>610204</v>
          </cell>
          <cell r="B38" t="str">
            <v>นาย</v>
          </cell>
          <cell r="C38" t="str">
            <v>ยุทธนา</v>
          </cell>
          <cell r="D38" t="str">
            <v>มัทเรศ</v>
          </cell>
          <cell r="E38" t="str">
            <v>คผ.A ปล.</v>
          </cell>
          <cell r="F38" t="str">
            <v>Operation</v>
          </cell>
          <cell r="G38">
            <v>27.854893908281994</v>
          </cell>
          <cell r="H38" t="str">
            <v>Male</v>
          </cell>
          <cell r="I38" t="str">
            <v>ไม่สูบ</v>
          </cell>
          <cell r="J38">
            <v>128</v>
          </cell>
          <cell r="K38">
            <v>176.5</v>
          </cell>
          <cell r="L38">
            <v>76</v>
          </cell>
          <cell r="M38">
            <v>24.396311662881494</v>
          </cell>
          <cell r="N38">
            <v>84</v>
          </cell>
          <cell r="O38" t="str">
            <v>ไม่มี</v>
          </cell>
          <cell r="P38">
            <v>87</v>
          </cell>
          <cell r="Q38">
            <v>282</v>
          </cell>
          <cell r="R38">
            <v>1</v>
          </cell>
          <cell r="S38">
            <v>0</v>
          </cell>
          <cell r="T38">
            <v>0</v>
          </cell>
          <cell r="U38">
            <v>5.9397159685147152</v>
          </cell>
          <cell r="V38">
            <v>1.1876230283558109</v>
          </cell>
          <cell r="W38" t="str">
            <v>ความเสี่ยงต่ำ</v>
          </cell>
        </row>
        <row r="39">
          <cell r="A39">
            <v>610108</v>
          </cell>
          <cell r="B39" t="str">
            <v>นาย</v>
          </cell>
          <cell r="C39" t="str">
            <v>จิรวัฒน์</v>
          </cell>
          <cell r="D39" t="str">
            <v>สาติยะ</v>
          </cell>
          <cell r="E39" t="str">
            <v>บง.วบก.</v>
          </cell>
          <cell r="F39" t="str">
            <v>Maintenance</v>
          </cell>
          <cell r="G39">
            <v>30.275154004106778</v>
          </cell>
          <cell r="H39" t="str">
            <v>Male</v>
          </cell>
          <cell r="I39" t="str">
            <v>ไม่สูบ</v>
          </cell>
          <cell r="J39">
            <v>105</v>
          </cell>
          <cell r="K39">
            <v>163.5</v>
          </cell>
          <cell r="L39">
            <v>61.6</v>
          </cell>
          <cell r="M39">
            <v>23.043327815653377</v>
          </cell>
          <cell r="N39">
            <v>84</v>
          </cell>
          <cell r="O39" t="str">
            <v>ไม่มี</v>
          </cell>
          <cell r="P39">
            <v>88</v>
          </cell>
          <cell r="Q39">
            <v>182</v>
          </cell>
          <cell r="R39">
            <v>1</v>
          </cell>
          <cell r="S39">
            <v>0</v>
          </cell>
          <cell r="T39">
            <v>0</v>
          </cell>
          <cell r="U39">
            <v>5.4464458521560575</v>
          </cell>
          <cell r="V39">
            <v>0.7268799058359865</v>
          </cell>
          <cell r="W39" t="str">
            <v>ความเสี่ยงต่ำ</v>
          </cell>
        </row>
        <row r="40">
          <cell r="A40">
            <v>480188</v>
          </cell>
          <cell r="B40" t="str">
            <v>นาย</v>
          </cell>
          <cell r="C40" t="str">
            <v>บัญชา</v>
          </cell>
          <cell r="D40" t="str">
            <v>ศรีจำปา</v>
          </cell>
          <cell r="E40" t="str">
            <v>คผ.D ปผ.</v>
          </cell>
          <cell r="F40" t="str">
            <v>Operation</v>
          </cell>
          <cell r="G40">
            <v>41.166324435318273</v>
          </cell>
          <cell r="H40" t="str">
            <v>Male</v>
          </cell>
          <cell r="I40" t="str">
            <v>ไม่ระบุ</v>
          </cell>
          <cell r="J40">
            <v>116</v>
          </cell>
          <cell r="K40">
            <v>166.5</v>
          </cell>
          <cell r="L40">
            <v>71.599999999999994</v>
          </cell>
          <cell r="M40">
            <v>25.827629431233031</v>
          </cell>
          <cell r="N40">
            <v>88</v>
          </cell>
          <cell r="O40" t="str">
            <v>ไม่มี</v>
          </cell>
          <cell r="P40">
            <v>126</v>
          </cell>
          <cell r="Q40">
            <v>188</v>
          </cell>
          <cell r="R40">
            <v>1</v>
          </cell>
          <cell r="S40">
            <v>1</v>
          </cell>
          <cell r="T40">
            <v>0</v>
          </cell>
          <cell r="U40">
            <v>6.9987903285420945</v>
          </cell>
          <cell r="V40">
            <v>3.3865751862125149</v>
          </cell>
          <cell r="W40" t="str">
            <v>ความเสี่ยงต่ำ</v>
          </cell>
        </row>
        <row r="41">
          <cell r="A41">
            <v>640023</v>
          </cell>
          <cell r="B41" t="str">
            <v>นาย</v>
          </cell>
          <cell r="C41" t="str">
            <v>ปรมัตถ์</v>
          </cell>
          <cell r="D41" t="str">
            <v>กองแก้ว</v>
          </cell>
          <cell r="E41" t="str">
            <v>บง.วบก.</v>
          </cell>
          <cell r="F41" t="str">
            <v>Maintenance</v>
          </cell>
          <cell r="G41">
            <v>29.002053388090285</v>
          </cell>
          <cell r="H41" t="str">
            <v>Male</v>
          </cell>
          <cell r="I41" t="str">
            <v>ไม่ระบุ</v>
          </cell>
          <cell r="J41">
            <v>141</v>
          </cell>
          <cell r="K41">
            <v>187</v>
          </cell>
          <cell r="L41">
            <v>115.4</v>
          </cell>
          <cell r="M41">
            <v>33.000657725413937</v>
          </cell>
          <cell r="N41">
            <v>101</v>
          </cell>
          <cell r="O41" t="str">
            <v>ไม่มี</v>
          </cell>
          <cell r="P41">
            <v>89</v>
          </cell>
          <cell r="Q41">
            <v>197</v>
          </cell>
          <cell r="R41">
            <v>1</v>
          </cell>
          <cell r="S41">
            <v>1</v>
          </cell>
          <cell r="T41">
            <v>0</v>
          </cell>
          <cell r="U41">
            <v>6.5434680287474283</v>
          </cell>
          <cell r="V41">
            <v>2.1614253506230696</v>
          </cell>
          <cell r="W41" t="str">
            <v>ความเสี่ยงต่ำ</v>
          </cell>
        </row>
        <row r="42">
          <cell r="A42">
            <v>590063</v>
          </cell>
          <cell r="B42" t="str">
            <v>นาย</v>
          </cell>
          <cell r="C42" t="str">
            <v>พิชญา</v>
          </cell>
          <cell r="D42" t="str">
            <v>สกุลมาก</v>
          </cell>
          <cell r="E42" t="str">
            <v>บค.วบก.</v>
          </cell>
          <cell r="F42" t="str">
            <v>Maintenance</v>
          </cell>
          <cell r="G42">
            <v>32.057494866529773</v>
          </cell>
          <cell r="H42" t="str">
            <v>Male</v>
          </cell>
          <cell r="I42" t="str">
            <v>ไม่สูบ</v>
          </cell>
          <cell r="J42">
            <v>133</v>
          </cell>
          <cell r="K42">
            <v>173.5</v>
          </cell>
          <cell r="L42">
            <v>83.4</v>
          </cell>
          <cell r="M42">
            <v>27.705570181630943</v>
          </cell>
          <cell r="N42">
            <v>92</v>
          </cell>
          <cell r="O42" t="str">
            <v>ไม่มี</v>
          </cell>
          <cell r="P42">
            <v>92</v>
          </cell>
          <cell r="Q42">
            <v>249</v>
          </cell>
          <cell r="R42">
            <v>1</v>
          </cell>
          <cell r="S42">
            <v>0</v>
          </cell>
          <cell r="T42">
            <v>0</v>
          </cell>
          <cell r="U42">
            <v>6.3178548049281309</v>
          </cell>
          <cell r="V42">
            <v>1.728673109997847</v>
          </cell>
          <cell r="W42" t="str">
            <v>ความเสี่ยงต่ำ</v>
          </cell>
        </row>
        <row r="43">
          <cell r="A43">
            <v>490072</v>
          </cell>
          <cell r="B43" t="str">
            <v>นาย</v>
          </cell>
          <cell r="C43" t="str">
            <v>เอกลักษณ์</v>
          </cell>
          <cell r="D43" t="str">
            <v>ชูบุญ</v>
          </cell>
          <cell r="E43" t="str">
            <v>คผ.B ปผ.</v>
          </cell>
          <cell r="F43" t="str">
            <v>Operation</v>
          </cell>
          <cell r="G43">
            <v>45.555099247091036</v>
          </cell>
          <cell r="H43" t="str">
            <v>Male</v>
          </cell>
          <cell r="I43" t="str">
            <v>ไม่สูบ</v>
          </cell>
          <cell r="J43">
            <v>127</v>
          </cell>
          <cell r="K43">
            <v>166.5</v>
          </cell>
          <cell r="L43">
            <v>67.2</v>
          </cell>
          <cell r="M43">
            <v>24.240456672889103</v>
          </cell>
          <cell r="N43">
            <v>79</v>
          </cell>
          <cell r="O43" t="str">
            <v>ไม่มี</v>
          </cell>
          <cell r="P43">
            <v>94</v>
          </cell>
          <cell r="Q43">
            <v>192</v>
          </cell>
          <cell r="R43">
            <v>1</v>
          </cell>
          <cell r="S43">
            <v>0</v>
          </cell>
          <cell r="T43">
            <v>0</v>
          </cell>
          <cell r="U43">
            <v>7.17648377138946</v>
          </cell>
          <cell r="V43">
            <v>4.0316829303127522</v>
          </cell>
          <cell r="W43" t="str">
            <v>ความเสี่ยงต่ำ</v>
          </cell>
        </row>
        <row r="44">
          <cell r="A44">
            <v>530020</v>
          </cell>
          <cell r="B44" t="str">
            <v>นาย</v>
          </cell>
          <cell r="C44" t="str">
            <v>ณัฐวีร์</v>
          </cell>
          <cell r="D44" t="str">
            <v>ชมภูรัตน์</v>
          </cell>
          <cell r="E44" t="str">
            <v>คผ.D ปผ.</v>
          </cell>
          <cell r="F44" t="str">
            <v>Operation</v>
          </cell>
          <cell r="G44">
            <v>36.109514031485276</v>
          </cell>
          <cell r="H44" t="str">
            <v>Male</v>
          </cell>
          <cell r="I44" t="str">
            <v>ไม่ระบุ</v>
          </cell>
          <cell r="J44">
            <v>130</v>
          </cell>
          <cell r="K44">
            <v>180</v>
          </cell>
          <cell r="L44">
            <v>79.5</v>
          </cell>
          <cell r="M44">
            <v>24.537037037037038</v>
          </cell>
          <cell r="N44">
            <v>89</v>
          </cell>
          <cell r="O44" t="str">
            <v>โรคภูมิแพ้</v>
          </cell>
          <cell r="P44">
            <v>91</v>
          </cell>
          <cell r="Q44">
            <v>211</v>
          </cell>
          <cell r="R44">
            <v>1</v>
          </cell>
          <cell r="S44">
            <v>1</v>
          </cell>
          <cell r="T44">
            <v>0</v>
          </cell>
          <cell r="U44">
            <v>6.9255115331964401</v>
          </cell>
          <cell r="V44">
            <v>3.1510974237549449</v>
          </cell>
          <cell r="W44" t="str">
            <v>ความเสี่ยงต่ำ</v>
          </cell>
        </row>
        <row r="45">
          <cell r="A45">
            <v>480197</v>
          </cell>
          <cell r="B45" t="str">
            <v>นาย</v>
          </cell>
          <cell r="C45" t="str">
            <v>เอกราช</v>
          </cell>
          <cell r="D45" t="str">
            <v>เกิดผล</v>
          </cell>
          <cell r="E45" t="str">
            <v>คผ.B ปผ.</v>
          </cell>
          <cell r="F45" t="str">
            <v>Operation</v>
          </cell>
          <cell r="G45">
            <v>46.477754962354553</v>
          </cell>
          <cell r="H45" t="str">
            <v>Male</v>
          </cell>
          <cell r="I45" t="str">
            <v>ไม่สูบ</v>
          </cell>
          <cell r="J45">
            <v>116</v>
          </cell>
          <cell r="K45">
            <v>183.5</v>
          </cell>
          <cell r="L45">
            <v>76.5</v>
          </cell>
          <cell r="M45">
            <v>22.719004521527371</v>
          </cell>
          <cell r="N45">
            <v>83</v>
          </cell>
          <cell r="O45" t="str">
            <v>โรคภูมิแพ้อากาศ</v>
          </cell>
          <cell r="P45">
            <v>93</v>
          </cell>
          <cell r="Q45">
            <v>284</v>
          </cell>
          <cell r="R45">
            <v>1</v>
          </cell>
          <cell r="S45">
            <v>0</v>
          </cell>
          <cell r="T45">
            <v>0</v>
          </cell>
          <cell r="U45">
            <v>7.2177846885694734</v>
          </cell>
          <cell r="V45">
            <v>4.1980632166876752</v>
          </cell>
          <cell r="W45" t="str">
            <v>ความเสี่ยงต่ำ</v>
          </cell>
        </row>
        <row r="46">
          <cell r="A46">
            <v>600015</v>
          </cell>
          <cell r="B46" t="str">
            <v>นาย</v>
          </cell>
          <cell r="C46" t="str">
            <v>ปารณัท</v>
          </cell>
          <cell r="D46" t="str">
            <v>วัชระปรารมย์</v>
          </cell>
          <cell r="E46" t="str">
            <v>บง.วบก.</v>
          </cell>
          <cell r="F46" t="str">
            <v>Maintenance</v>
          </cell>
          <cell r="G46">
            <v>35.077344284736483</v>
          </cell>
          <cell r="H46" t="str">
            <v>Male</v>
          </cell>
          <cell r="I46" t="str">
            <v>ไม่ระบุ</v>
          </cell>
          <cell r="J46">
            <v>122</v>
          </cell>
          <cell r="K46">
            <v>177</v>
          </cell>
          <cell r="L46">
            <v>90.2</v>
          </cell>
          <cell r="M46">
            <v>28.791215806441318</v>
          </cell>
          <cell r="N46">
            <v>99</v>
          </cell>
          <cell r="O46" t="str">
            <v>โรคเบาหวาน ไขมันในเลือดสูง โรคภูมิแพ้</v>
          </cell>
          <cell r="P46">
            <v>188</v>
          </cell>
          <cell r="Q46">
            <v>131</v>
          </cell>
          <cell r="R46">
            <v>1</v>
          </cell>
          <cell r="S46">
            <v>1</v>
          </cell>
          <cell r="T46">
            <v>1</v>
          </cell>
          <cell r="U46">
            <v>7.2044690828199869</v>
          </cell>
          <cell r="V46">
            <v>4.1437008049958646</v>
          </cell>
          <cell r="W46" t="str">
            <v>ความเสี่ยงต่ำ</v>
          </cell>
        </row>
        <row r="47">
          <cell r="A47">
            <v>350084</v>
          </cell>
          <cell r="B47" t="str">
            <v>นาง</v>
          </cell>
          <cell r="C47" t="str">
            <v>รพีพรรณ</v>
          </cell>
          <cell r="D47" t="str">
            <v>บุญเนาว์</v>
          </cell>
          <cell r="E47" t="str">
            <v>บร.บรก.</v>
          </cell>
          <cell r="F47" t="str">
            <v>Support</v>
          </cell>
          <cell r="G47">
            <v>53.494866529774129</v>
          </cell>
          <cell r="H47" t="str">
            <v>Female</v>
          </cell>
          <cell r="I47" t="str">
            <v>ไม่สูบ</v>
          </cell>
          <cell r="J47">
            <v>100</v>
          </cell>
          <cell r="K47">
            <v>150.5</v>
          </cell>
          <cell r="L47">
            <v>46.5</v>
          </cell>
          <cell r="M47">
            <v>20.529574728755751</v>
          </cell>
          <cell r="N47">
            <v>67</v>
          </cell>
          <cell r="O47" t="str">
            <v>มี</v>
          </cell>
          <cell r="P47">
            <v>97</v>
          </cell>
          <cell r="Q47">
            <v>147</v>
          </cell>
          <cell r="R47">
            <v>0</v>
          </cell>
          <cell r="S47">
            <v>0</v>
          </cell>
          <cell r="T47">
            <v>0</v>
          </cell>
          <cell r="U47">
            <v>6.7731249281314172</v>
          </cell>
          <cell r="V47">
            <v>2.7118084447711466</v>
          </cell>
          <cell r="W47" t="str">
            <v>ความเสี่ยงต่ำ</v>
          </cell>
        </row>
        <row r="48">
          <cell r="A48">
            <v>550145</v>
          </cell>
          <cell r="B48" t="str">
            <v>นาย</v>
          </cell>
          <cell r="C48" t="str">
            <v>ธีรยุทธ</v>
          </cell>
          <cell r="D48" t="str">
            <v>นิ่มนุ้ย</v>
          </cell>
          <cell r="E48" t="str">
            <v>วก.วบก.</v>
          </cell>
          <cell r="F48" t="str">
            <v>Maintenance</v>
          </cell>
          <cell r="G48">
            <v>37.262149212867897</v>
          </cell>
          <cell r="H48" t="str">
            <v>Male</v>
          </cell>
          <cell r="I48" t="str">
            <v>ไม่สูบ</v>
          </cell>
          <cell r="J48">
            <v>120</v>
          </cell>
          <cell r="K48">
            <v>170</v>
          </cell>
          <cell r="L48">
            <v>59.9</v>
          </cell>
          <cell r="M48">
            <v>20.726643598615919</v>
          </cell>
          <cell r="N48">
            <v>71</v>
          </cell>
          <cell r="O48" t="str">
            <v>ไม่มี</v>
          </cell>
          <cell r="P48">
            <v>83</v>
          </cell>
          <cell r="Q48">
            <v>190</v>
          </cell>
          <cell r="R48">
            <v>1</v>
          </cell>
          <cell r="S48">
            <v>0</v>
          </cell>
          <cell r="T48">
            <v>0</v>
          </cell>
          <cell r="U48">
            <v>6.3477516700889796</v>
          </cell>
          <cell r="V48">
            <v>1.7806654927703169</v>
          </cell>
          <cell r="W48" t="str">
            <v>ความเสี่ยงต่ำ</v>
          </cell>
        </row>
        <row r="49">
          <cell r="A49">
            <v>640056</v>
          </cell>
          <cell r="B49" t="str">
            <v>นาย</v>
          </cell>
          <cell r="C49" t="str">
            <v>กายสิทธิ์</v>
          </cell>
          <cell r="D49" t="str">
            <v>เพียรดำ</v>
          </cell>
          <cell r="E49" t="str">
            <v>ผ.ปก.D คธ.</v>
          </cell>
          <cell r="F49" t="str">
            <v>Operation</v>
          </cell>
          <cell r="G49">
            <v>32</v>
          </cell>
          <cell r="H49" t="str">
            <v>Male</v>
          </cell>
          <cell r="I49" t="str">
            <v>ไม่สูบ</v>
          </cell>
          <cell r="J49">
            <v>120</v>
          </cell>
          <cell r="K49">
            <v>163.5</v>
          </cell>
          <cell r="L49">
            <v>72.099999999999994</v>
          </cell>
          <cell r="M49">
            <v>26.971167784230659</v>
          </cell>
          <cell r="N49">
            <v>89</v>
          </cell>
          <cell r="O49" t="str">
            <v>โรคเก๊าท์</v>
          </cell>
          <cell r="P49">
            <v>89</v>
          </cell>
          <cell r="Q49">
            <v>206</v>
          </cell>
          <cell r="R49">
            <v>1</v>
          </cell>
          <cell r="S49">
            <v>0</v>
          </cell>
          <cell r="T49">
            <v>0</v>
          </cell>
          <cell r="U49">
            <v>5.9510700000000005</v>
          </cell>
          <cell r="V49">
            <v>1.2011024109530366</v>
          </cell>
          <cell r="W49" t="str">
            <v>ความเสี่ยงต่ำ</v>
          </cell>
        </row>
        <row r="50">
          <cell r="A50">
            <v>670061</v>
          </cell>
          <cell r="B50" t="str">
            <v>นาย</v>
          </cell>
          <cell r="C50" t="str">
            <v>จาตุรนต์</v>
          </cell>
          <cell r="D50" t="str">
            <v>มีสี</v>
          </cell>
          <cell r="E50" t="str">
            <v>บค.วบก.</v>
          </cell>
          <cell r="F50" t="str">
            <v>Maintenance</v>
          </cell>
          <cell r="G50">
            <v>22.858316221765907</v>
          </cell>
          <cell r="H50" t="str">
            <v>Male</v>
          </cell>
          <cell r="I50" t="str">
            <v>ไม่สูบ</v>
          </cell>
          <cell r="J50">
            <v>143</v>
          </cell>
          <cell r="K50">
            <v>167.5</v>
          </cell>
          <cell r="L50">
            <v>56</v>
          </cell>
          <cell r="M50">
            <v>19.959901982624192</v>
          </cell>
          <cell r="N50">
            <v>65</v>
          </cell>
          <cell r="O50" t="str">
            <v>ไม่มี</v>
          </cell>
          <cell r="P50">
            <v>84</v>
          </cell>
          <cell r="Q50">
            <v>239</v>
          </cell>
          <cell r="R50">
            <v>1</v>
          </cell>
          <cell r="S50">
            <v>0</v>
          </cell>
          <cell r="T50">
            <v>0</v>
          </cell>
          <cell r="U50">
            <v>5.7522860164271048</v>
          </cell>
          <cell r="V50">
            <v>0.98564701810770483</v>
          </cell>
          <cell r="W50" t="str">
            <v>ความเสี่ยงต่ำ</v>
          </cell>
        </row>
        <row r="51">
          <cell r="A51">
            <v>490041</v>
          </cell>
          <cell r="B51" t="str">
            <v>นาย</v>
          </cell>
          <cell r="C51" t="str">
            <v>ขจร</v>
          </cell>
          <cell r="D51" t="str">
            <v>นุชทรัพย์</v>
          </cell>
          <cell r="E51" t="str">
            <v>คผ.B ปล.</v>
          </cell>
          <cell r="F51" t="str">
            <v>Operation</v>
          </cell>
          <cell r="G51">
            <v>42.047912388774812</v>
          </cell>
          <cell r="H51" t="str">
            <v>Male</v>
          </cell>
          <cell r="I51" t="str">
            <v>ไม่สูบ</v>
          </cell>
          <cell r="J51">
            <v>122</v>
          </cell>
          <cell r="K51">
            <v>171.5</v>
          </cell>
          <cell r="L51">
            <v>80.599999999999994</v>
          </cell>
          <cell r="M51">
            <v>27.403547841460618</v>
          </cell>
          <cell r="N51">
            <v>101</v>
          </cell>
          <cell r="O51" t="str">
            <v>ไขมันในเลือดสูง</v>
          </cell>
          <cell r="P51">
            <v>95</v>
          </cell>
          <cell r="Q51">
            <v>316</v>
          </cell>
          <cell r="R51">
            <v>1</v>
          </cell>
          <cell r="S51">
            <v>0</v>
          </cell>
          <cell r="T51">
            <v>0</v>
          </cell>
          <cell r="U51">
            <v>7.0481706707734437</v>
          </cell>
          <cell r="V51">
            <v>3.5549202400219193</v>
          </cell>
          <cell r="W51" t="str">
            <v>ความเสี่ยงต่ำ</v>
          </cell>
        </row>
        <row r="52">
          <cell r="A52">
            <v>480182</v>
          </cell>
          <cell r="B52" t="str">
            <v>นาย</v>
          </cell>
          <cell r="C52" t="str">
            <v>ธนกฤต</v>
          </cell>
          <cell r="D52" t="str">
            <v>จันทะศรี</v>
          </cell>
          <cell r="E52" t="str">
            <v>คผ.C ปต.</v>
          </cell>
          <cell r="F52" t="str">
            <v>Operation</v>
          </cell>
          <cell r="G52">
            <v>44.052019164955489</v>
          </cell>
          <cell r="H52" t="str">
            <v>Male</v>
          </cell>
          <cell r="I52" t="str">
            <v>ไม่สูบ</v>
          </cell>
          <cell r="J52">
            <v>132</v>
          </cell>
          <cell r="K52">
            <v>174.5</v>
          </cell>
          <cell r="L52">
            <v>62.1</v>
          </cell>
          <cell r="M52">
            <v>20.393921232173792</v>
          </cell>
          <cell r="N52">
            <v>81</v>
          </cell>
          <cell r="O52" t="str">
            <v>โรคภูมิแพ้</v>
          </cell>
          <cell r="P52">
            <v>78</v>
          </cell>
          <cell r="Q52">
            <v>222</v>
          </cell>
          <cell r="R52">
            <v>1</v>
          </cell>
          <cell r="S52">
            <v>0</v>
          </cell>
          <cell r="T52">
            <v>0</v>
          </cell>
          <cell r="U52">
            <v>7.221286728268308</v>
          </cell>
          <cell r="V52">
            <v>4.2124761344935031</v>
          </cell>
          <cell r="W52" t="str">
            <v>ความเสี่ยงต่ำ</v>
          </cell>
        </row>
        <row r="53">
          <cell r="A53">
            <v>510001</v>
          </cell>
          <cell r="B53" t="str">
            <v>นาง</v>
          </cell>
          <cell r="C53" t="str">
            <v>สุรีย์พันธ์</v>
          </cell>
          <cell r="D53" t="str">
            <v>คุณากูลสวัสดิ์</v>
          </cell>
          <cell r="E53" t="str">
            <v>กผ.ทผก.</v>
          </cell>
          <cell r="F53" t="str">
            <v>Support</v>
          </cell>
          <cell r="G53">
            <v>42.956878850102669</v>
          </cell>
          <cell r="H53" t="str">
            <v>Female</v>
          </cell>
          <cell r="I53" t="str">
            <v>ไม่สูบ</v>
          </cell>
          <cell r="J53">
            <v>125</v>
          </cell>
          <cell r="K53">
            <v>161</v>
          </cell>
          <cell r="L53">
            <v>76.2</v>
          </cell>
          <cell r="M53">
            <v>29.397014004089346</v>
          </cell>
          <cell r="N53">
            <v>81</v>
          </cell>
          <cell r="O53" t="str">
            <v>โรคภูมิแพ้</v>
          </cell>
          <cell r="P53">
            <v>97</v>
          </cell>
          <cell r="Q53">
            <v>257</v>
          </cell>
          <cell r="R53">
            <v>0</v>
          </cell>
          <cell r="S53">
            <v>0</v>
          </cell>
          <cell r="T53">
            <v>0</v>
          </cell>
          <cell r="U53">
            <v>6.665001396303901</v>
          </cell>
          <cell r="V53">
            <v>2.4373096857836507</v>
          </cell>
          <cell r="W53" t="str">
            <v>ความเสี่ยงต่ำ</v>
          </cell>
        </row>
        <row r="54">
          <cell r="A54">
            <v>670027</v>
          </cell>
          <cell r="B54" t="str">
            <v>นาย</v>
          </cell>
          <cell r="C54" t="str">
            <v>อภิชา</v>
          </cell>
          <cell r="D54" t="str">
            <v>พันธุ์อนุกุล</v>
          </cell>
          <cell r="E54" t="str">
            <v>บฟ.วบก.</v>
          </cell>
          <cell r="F54" t="str">
            <v>Maintenance</v>
          </cell>
          <cell r="G54">
            <v>27.274469541409989</v>
          </cell>
          <cell r="H54" t="str">
            <v>Male</v>
          </cell>
          <cell r="I54" t="str">
            <v>ไม่สูบ</v>
          </cell>
          <cell r="J54">
            <v>126</v>
          </cell>
          <cell r="K54">
            <v>183.5</v>
          </cell>
          <cell r="L54">
            <v>87.7</v>
          </cell>
          <cell r="M54">
            <v>26.045185575659481</v>
          </cell>
          <cell r="N54">
            <v>86</v>
          </cell>
          <cell r="O54" t="str">
            <v>ไม่มี</v>
          </cell>
          <cell r="P54">
            <v>83</v>
          </cell>
          <cell r="Q54">
            <v>202</v>
          </cell>
          <cell r="R54">
            <v>1</v>
          </cell>
          <cell r="S54">
            <v>0</v>
          </cell>
          <cell r="T54">
            <v>0</v>
          </cell>
          <cell r="U54">
            <v>5.6809398425735793</v>
          </cell>
          <cell r="V54">
            <v>0.91808742790865372</v>
          </cell>
          <cell r="W54" t="str">
            <v>ความเสี่ยงต่ำ</v>
          </cell>
        </row>
        <row r="55">
          <cell r="A55">
            <v>600187</v>
          </cell>
          <cell r="B55" t="str">
            <v>นางสาว</v>
          </cell>
          <cell r="C55" t="str">
            <v>วริยา</v>
          </cell>
          <cell r="D55" t="str">
            <v>ณรงค์แสง</v>
          </cell>
          <cell r="E55" t="str">
            <v>กช.บรก.</v>
          </cell>
          <cell r="F55" t="str">
            <v>Support</v>
          </cell>
          <cell r="G55">
            <v>36.878850102669404</v>
          </cell>
          <cell r="H55" t="str">
            <v>Female</v>
          </cell>
          <cell r="I55" t="str">
            <v>ไม่สูบ</v>
          </cell>
          <cell r="J55">
            <v>132</v>
          </cell>
          <cell r="K55">
            <v>157.5</v>
          </cell>
          <cell r="L55">
            <v>77.599999999999994</v>
          </cell>
          <cell r="M55">
            <v>31.282438901486522</v>
          </cell>
          <cell r="N55">
            <v>85</v>
          </cell>
          <cell r="O55" t="str">
            <v>โรคภูมิแพ้</v>
          </cell>
          <cell r="P55">
            <v>92</v>
          </cell>
          <cell r="Q55">
            <v>262</v>
          </cell>
          <cell r="R55">
            <v>0</v>
          </cell>
          <cell r="S55">
            <v>0</v>
          </cell>
          <cell r="T55">
            <v>0</v>
          </cell>
          <cell r="U55">
            <v>6.3241163039014374</v>
          </cell>
          <cell r="V55">
            <v>1.7394361682432358</v>
          </cell>
          <cell r="W55" t="str">
            <v>ความเสี่ยงต่ำ</v>
          </cell>
        </row>
        <row r="56">
          <cell r="A56">
            <v>550112</v>
          </cell>
          <cell r="B56" t="str">
            <v>นาย</v>
          </cell>
          <cell r="C56" t="str">
            <v>จิรศักดิ์</v>
          </cell>
          <cell r="D56" t="str">
            <v>ศรีละวัลย์</v>
          </cell>
          <cell r="E56" t="str">
            <v>บร.บรก.</v>
          </cell>
          <cell r="F56" t="str">
            <v>Support</v>
          </cell>
          <cell r="G56">
            <v>39.474332648870636</v>
          </cell>
          <cell r="H56" t="str">
            <v>Male</v>
          </cell>
          <cell r="I56" t="str">
            <v>ไม่สูบ</v>
          </cell>
          <cell r="J56">
            <v>106</v>
          </cell>
          <cell r="K56">
            <v>170.5</v>
          </cell>
          <cell r="L56">
            <v>60.8</v>
          </cell>
          <cell r="M56">
            <v>20.914852813443296</v>
          </cell>
          <cell r="N56">
            <v>78</v>
          </cell>
          <cell r="O56" t="str">
            <v>ไม่มี</v>
          </cell>
          <cell r="P56">
            <v>82</v>
          </cell>
          <cell r="Q56">
            <v>180</v>
          </cell>
          <cell r="R56">
            <v>1</v>
          </cell>
          <cell r="S56">
            <v>0</v>
          </cell>
          <cell r="T56">
            <v>0</v>
          </cell>
          <cell r="U56">
            <v>6.2158146406570838</v>
          </cell>
          <cell r="V56">
            <v>1.5622973822982167</v>
          </cell>
          <cell r="W56" t="str">
            <v>ความเสี่ยงต่ำ</v>
          </cell>
        </row>
        <row r="57">
          <cell r="A57">
            <v>650031</v>
          </cell>
          <cell r="B57" t="str">
            <v>นาย</v>
          </cell>
          <cell r="C57" t="str">
            <v>กฤษฎา</v>
          </cell>
          <cell r="D57" t="str">
            <v>ไสยสุข</v>
          </cell>
          <cell r="E57" t="str">
            <v>ซญ.วบก.</v>
          </cell>
          <cell r="F57" t="str">
            <v>Maintenance</v>
          </cell>
          <cell r="G57">
            <v>31.780971937029431</v>
          </cell>
          <cell r="H57" t="str">
            <v>Male</v>
          </cell>
          <cell r="I57" t="str">
            <v>ไม่สูบ</v>
          </cell>
          <cell r="J57">
            <v>130</v>
          </cell>
          <cell r="K57">
            <v>171.5</v>
          </cell>
          <cell r="L57">
            <v>77.599999999999994</v>
          </cell>
          <cell r="M57">
            <v>26.383564671182924</v>
          </cell>
          <cell r="N57">
            <v>87</v>
          </cell>
          <cell r="O57" t="str">
            <v>ไม่มี</v>
          </cell>
          <cell r="P57">
            <v>73</v>
          </cell>
          <cell r="Q57">
            <v>243</v>
          </cell>
          <cell r="R57">
            <v>1</v>
          </cell>
          <cell r="S57">
            <v>0</v>
          </cell>
          <cell r="T57">
            <v>0</v>
          </cell>
          <cell r="U57">
            <v>6.2199869336071183</v>
          </cell>
          <cell r="V57">
            <v>1.5687778562318733</v>
          </cell>
          <cell r="W57" t="str">
            <v>ความเสี่ยงต่ำ</v>
          </cell>
        </row>
        <row r="58">
          <cell r="A58">
            <v>360098</v>
          </cell>
          <cell r="B58" t="str">
            <v>นาย</v>
          </cell>
          <cell r="C58" t="str">
            <v>เมธี</v>
          </cell>
          <cell r="D58" t="str">
            <v>ภูศรี</v>
          </cell>
          <cell r="E58" t="str">
            <v>อท.บรก.</v>
          </cell>
          <cell r="F58" t="str">
            <v>Support</v>
          </cell>
          <cell r="G58">
            <v>54.253251197809718</v>
          </cell>
          <cell r="H58" t="str">
            <v>Male</v>
          </cell>
          <cell r="I58" t="str">
            <v>ไม่สูบ</v>
          </cell>
          <cell r="J58">
            <v>136</v>
          </cell>
          <cell r="K58">
            <v>166</v>
          </cell>
          <cell r="L58">
            <v>82.6</v>
          </cell>
          <cell r="M58">
            <v>29.975322978661637</v>
          </cell>
          <cell r="N58">
            <v>94</v>
          </cell>
          <cell r="O58" t="str">
            <v>โรคความดันโลหิตสูง</v>
          </cell>
          <cell r="P58">
            <v>100</v>
          </cell>
          <cell r="Q58">
            <v>150</v>
          </cell>
          <cell r="R58">
            <v>1</v>
          </cell>
          <cell r="S58">
            <v>0</v>
          </cell>
          <cell r="T58">
            <v>0</v>
          </cell>
          <cell r="U58">
            <v>7.986773545516769</v>
          </cell>
          <cell r="V58">
            <v>8.8380779949198907</v>
          </cell>
          <cell r="W58" t="str">
            <v>ความเสี่ยงต่ำ</v>
          </cell>
        </row>
        <row r="59">
          <cell r="A59">
            <v>550056</v>
          </cell>
          <cell r="B59" t="str">
            <v>นาย</v>
          </cell>
          <cell r="C59" t="str">
            <v>เฉลิม</v>
          </cell>
          <cell r="D59" t="str">
            <v>เกษรศิริ</v>
          </cell>
          <cell r="E59" t="str">
            <v>คผ.D ปผ.</v>
          </cell>
          <cell r="F59" t="str">
            <v>Operation</v>
          </cell>
          <cell r="G59">
            <v>34.874743326488705</v>
          </cell>
          <cell r="H59" t="str">
            <v>Male</v>
          </cell>
          <cell r="I59" t="str">
            <v>ไม่สูบ</v>
          </cell>
          <cell r="J59">
            <v>132</v>
          </cell>
          <cell r="K59">
            <v>178</v>
          </cell>
          <cell r="L59">
            <v>65.400000000000006</v>
          </cell>
          <cell r="M59">
            <v>20.641333165004419</v>
          </cell>
          <cell r="N59">
            <v>80</v>
          </cell>
          <cell r="O59" t="str">
            <v>ไม่มี</v>
          </cell>
          <cell r="P59">
            <v>87</v>
          </cell>
          <cell r="Q59">
            <v>234</v>
          </cell>
          <cell r="R59">
            <v>1</v>
          </cell>
          <cell r="S59">
            <v>0</v>
          </cell>
          <cell r="T59">
            <v>0</v>
          </cell>
          <cell r="U59">
            <v>6.4957502464065708</v>
          </cell>
          <cell r="V59">
            <v>2.0617546643403983</v>
          </cell>
          <cell r="W59" t="str">
            <v>ความเสี่ยงต่ำ</v>
          </cell>
        </row>
        <row r="60">
          <cell r="A60">
            <v>570117</v>
          </cell>
          <cell r="B60" t="str">
            <v>นาย</v>
          </cell>
          <cell r="C60" t="str">
            <v>สุชัจจ์</v>
          </cell>
          <cell r="D60" t="str">
            <v>ภูริยากร</v>
          </cell>
          <cell r="E60" t="str">
            <v>ผบ.วบก.</v>
          </cell>
          <cell r="F60" t="str">
            <v>Maintenance</v>
          </cell>
          <cell r="G60">
            <v>33.2539356605065</v>
          </cell>
          <cell r="H60" t="str">
            <v>Male</v>
          </cell>
          <cell r="I60" t="str">
            <v>ไม่สูบ</v>
          </cell>
          <cell r="J60">
            <v>133</v>
          </cell>
          <cell r="K60">
            <v>181.5</v>
          </cell>
          <cell r="L60">
            <v>92.8</v>
          </cell>
          <cell r="M60">
            <v>28.170510514612694</v>
          </cell>
          <cell r="N60">
            <v>102</v>
          </cell>
          <cell r="O60" t="str">
            <v>ไม่มี</v>
          </cell>
          <cell r="P60">
            <v>88</v>
          </cell>
          <cell r="Q60">
            <v>240</v>
          </cell>
          <cell r="R60">
            <v>1</v>
          </cell>
          <cell r="S60">
            <v>0</v>
          </cell>
          <cell r="T60">
            <v>0</v>
          </cell>
          <cell r="U60">
            <v>6.3966795550992464</v>
          </cell>
          <cell r="V60">
            <v>1.8691166841695805</v>
          </cell>
          <cell r="W60" t="str">
            <v>ความเสี่ยงต่ำ</v>
          </cell>
        </row>
        <row r="61">
          <cell r="A61">
            <v>350097</v>
          </cell>
          <cell r="B61" t="str">
            <v>นาย</v>
          </cell>
          <cell r="C61" t="str">
            <v>จารุวัฒน์</v>
          </cell>
          <cell r="D61" t="str">
            <v>คำตาบุตร</v>
          </cell>
          <cell r="E61" t="str">
            <v>บฟ.วบก.</v>
          </cell>
          <cell r="F61" t="str">
            <v>Maintenance</v>
          </cell>
          <cell r="G61">
            <v>57.106091718001366</v>
          </cell>
          <cell r="H61" t="str">
            <v>Male</v>
          </cell>
          <cell r="I61" t="str">
            <v>ไม่สูบ</v>
          </cell>
          <cell r="J61">
            <v>118</v>
          </cell>
          <cell r="K61">
            <v>172.5</v>
          </cell>
          <cell r="L61">
            <v>75.900000000000006</v>
          </cell>
          <cell r="M61">
            <v>25.507246376811594</v>
          </cell>
          <cell r="N61">
            <v>91</v>
          </cell>
          <cell r="O61" t="str">
            <v>ไขมันในเลือดสูง</v>
          </cell>
          <cell r="P61">
            <v>107</v>
          </cell>
          <cell r="Q61">
            <v>210</v>
          </cell>
          <cell r="R61">
            <v>1</v>
          </cell>
          <cell r="S61">
            <v>0</v>
          </cell>
          <cell r="T61">
            <v>0</v>
          </cell>
          <cell r="U61">
            <v>7.972301485284051</v>
          </cell>
          <cell r="V61">
            <v>8.7167977824926357</v>
          </cell>
          <cell r="W61" t="str">
            <v>ความเสี่ยงต่ำ</v>
          </cell>
        </row>
        <row r="62">
          <cell r="A62">
            <v>350070</v>
          </cell>
          <cell r="B62" t="str">
            <v>นาย</v>
          </cell>
          <cell r="C62" t="str">
            <v>ธวัชชัย</v>
          </cell>
          <cell r="D62" t="str">
            <v>ธนกุลบดี</v>
          </cell>
          <cell r="E62" t="str">
            <v>คธ.สยก.</v>
          </cell>
          <cell r="F62" t="str">
            <v>Operation</v>
          </cell>
          <cell r="G62">
            <v>54.009582477754954</v>
          </cell>
          <cell r="H62" t="str">
            <v>Male</v>
          </cell>
          <cell r="I62" t="str">
            <v>ไม่สูบ</v>
          </cell>
          <cell r="J62">
            <v>115</v>
          </cell>
          <cell r="K62">
            <v>175</v>
          </cell>
          <cell r="L62">
            <v>79.900000000000006</v>
          </cell>
          <cell r="M62">
            <v>26.089795918367347</v>
          </cell>
          <cell r="N62">
            <v>92</v>
          </cell>
          <cell r="O62" t="str">
            <v>โรคความดันโลหิตสูง</v>
          </cell>
          <cell r="P62">
            <v>85</v>
          </cell>
          <cell r="Q62">
            <v>198</v>
          </cell>
          <cell r="R62">
            <v>1</v>
          </cell>
          <cell r="S62">
            <v>0</v>
          </cell>
          <cell r="T62">
            <v>0</v>
          </cell>
          <cell r="U62">
            <v>7.6309541341546883</v>
          </cell>
          <cell r="V62">
            <v>6.2771785522703798</v>
          </cell>
          <cell r="W62" t="str">
            <v>ความเสี่ยงต่ำ</v>
          </cell>
        </row>
        <row r="63">
          <cell r="A63">
            <v>640005</v>
          </cell>
          <cell r="B63" t="str">
            <v>นางสาว</v>
          </cell>
          <cell r="C63" t="str">
            <v>ศิริพร</v>
          </cell>
          <cell r="D63" t="str">
            <v>จุลเจิม</v>
          </cell>
          <cell r="E63" t="str">
            <v>ผ.จด.พย.</v>
          </cell>
          <cell r="F63" t="str">
            <v>Support</v>
          </cell>
          <cell r="G63">
            <v>32.711841204654334</v>
          </cell>
          <cell r="H63" t="str">
            <v>Female</v>
          </cell>
          <cell r="I63" t="str">
            <v>ไม่สูบ</v>
          </cell>
          <cell r="J63">
            <v>114</v>
          </cell>
          <cell r="K63">
            <v>167</v>
          </cell>
          <cell r="L63">
            <v>58</v>
          </cell>
          <cell r="M63">
            <v>20.796729893506399</v>
          </cell>
          <cell r="N63">
            <v>69</v>
          </cell>
          <cell r="O63" t="str">
            <v>ไม่มี</v>
          </cell>
          <cell r="P63">
            <v>84</v>
          </cell>
          <cell r="Q63">
            <v>169</v>
          </cell>
          <cell r="R63">
            <v>0</v>
          </cell>
          <cell r="S63">
            <v>0</v>
          </cell>
          <cell r="T63">
            <v>0</v>
          </cell>
          <cell r="U63">
            <v>5.4108499657768645</v>
          </cell>
          <cell r="V63">
            <v>0.70155043444226628</v>
          </cell>
          <cell r="W63" t="str">
            <v>ความเสี่ยงต่ำ</v>
          </cell>
        </row>
        <row r="64">
          <cell r="A64">
            <v>580297</v>
          </cell>
          <cell r="B64" t="str">
            <v>นาย</v>
          </cell>
          <cell r="C64" t="str">
            <v>วรรณวิวัฒน์</v>
          </cell>
          <cell r="D64" t="str">
            <v>สังข์เสือ</v>
          </cell>
          <cell r="E64" t="str">
            <v>คผ.C ปต.</v>
          </cell>
          <cell r="F64" t="str">
            <v>Operation</v>
          </cell>
          <cell r="G64">
            <v>36.74743326488705</v>
          </cell>
          <cell r="H64" t="str">
            <v>Male</v>
          </cell>
          <cell r="I64" t="str">
            <v>ไม่ระบุ</v>
          </cell>
          <cell r="J64">
            <v>142</v>
          </cell>
          <cell r="K64">
            <v>181</v>
          </cell>
          <cell r="L64">
            <v>87.4</v>
          </cell>
          <cell r="M64">
            <v>26.678062330209702</v>
          </cell>
          <cell r="N64">
            <v>101</v>
          </cell>
          <cell r="O64" t="str">
            <v>ไม่มี</v>
          </cell>
          <cell r="P64">
            <v>70</v>
          </cell>
          <cell r="Q64">
            <v>275</v>
          </cell>
          <cell r="R64">
            <v>1</v>
          </cell>
          <cell r="S64">
            <v>1</v>
          </cell>
          <cell r="T64">
            <v>0</v>
          </cell>
          <cell r="U64">
            <v>7.3634724640657074</v>
          </cell>
          <cell r="V64">
            <v>4.840286274061012</v>
          </cell>
          <cell r="W64" t="str">
            <v>ความเสี่ยงต่ำ</v>
          </cell>
        </row>
        <row r="65">
          <cell r="A65">
            <v>580310</v>
          </cell>
          <cell r="B65" t="str">
            <v>นางสาว</v>
          </cell>
          <cell r="C65" t="str">
            <v>ณัฐวนิช</v>
          </cell>
          <cell r="D65" t="str">
            <v>เท่งเจียว</v>
          </cell>
          <cell r="E65" t="str">
            <v>บป.ทผก.</v>
          </cell>
          <cell r="F65" t="str">
            <v>Support</v>
          </cell>
          <cell r="G65">
            <v>32.796714579055426</v>
          </cell>
          <cell r="H65" t="str">
            <v>Female</v>
          </cell>
          <cell r="I65" t="str">
            <v>ไม่สูบ</v>
          </cell>
          <cell r="J65">
            <v>99</v>
          </cell>
          <cell r="K65">
            <v>160</v>
          </cell>
          <cell r="L65">
            <v>48</v>
          </cell>
          <cell r="M65">
            <v>18.75</v>
          </cell>
          <cell r="N65">
            <v>66</v>
          </cell>
          <cell r="O65" t="str">
            <v>ไขมันในเลือดสูง, โรคภูมิแพ้ ,โรคหมอนรองกระดูก</v>
          </cell>
          <cell r="P65">
            <v>69</v>
          </cell>
          <cell r="Q65">
            <v>290</v>
          </cell>
          <cell r="R65">
            <v>0</v>
          </cell>
          <cell r="S65">
            <v>0</v>
          </cell>
          <cell r="T65">
            <v>0</v>
          </cell>
          <cell r="U65">
            <v>5.3617151540041048</v>
          </cell>
          <cell r="V65">
            <v>0.6680256471625845</v>
          </cell>
          <cell r="W65" t="str">
            <v>ความเสี่ยงต่ำ</v>
          </cell>
        </row>
        <row r="66">
          <cell r="A66">
            <v>640120</v>
          </cell>
          <cell r="B66" t="str">
            <v>นางสาว</v>
          </cell>
          <cell r="C66" t="str">
            <v>ศิศิรา</v>
          </cell>
          <cell r="D66" t="str">
            <v>ใจมั่น</v>
          </cell>
          <cell r="E66" t="str">
            <v>ตร.วบก.</v>
          </cell>
          <cell r="F66" t="str">
            <v>Maintenance</v>
          </cell>
          <cell r="G66">
            <v>29.242984257357961</v>
          </cell>
          <cell r="H66" t="str">
            <v>Female</v>
          </cell>
          <cell r="I66" t="str">
            <v>ไม่สูบ</v>
          </cell>
          <cell r="J66">
            <v>109</v>
          </cell>
          <cell r="K66">
            <v>160.5</v>
          </cell>
          <cell r="L66">
            <v>56.5</v>
          </cell>
          <cell r="M66">
            <v>21.933016954416203</v>
          </cell>
          <cell r="N66">
            <v>74</v>
          </cell>
          <cell r="O66" t="str">
            <v>โรคภูมิแพ้</v>
          </cell>
          <cell r="P66">
            <v>85</v>
          </cell>
          <cell r="Q66">
            <v>191</v>
          </cell>
          <cell r="R66">
            <v>0</v>
          </cell>
          <cell r="S66">
            <v>0</v>
          </cell>
          <cell r="T66">
            <v>0</v>
          </cell>
          <cell r="U66">
            <v>5.0694334017796017</v>
          </cell>
          <cell r="V66">
            <v>0.49914336262487646</v>
          </cell>
          <cell r="W66" t="str">
            <v>ความเสี่ยงต่ำ</v>
          </cell>
        </row>
        <row r="67">
          <cell r="A67">
            <v>550204</v>
          </cell>
          <cell r="B67" t="str">
            <v>นาย</v>
          </cell>
          <cell r="C67" t="str">
            <v>วุฒินันท์</v>
          </cell>
          <cell r="D67" t="str">
            <v>วัชโรทยาน</v>
          </cell>
          <cell r="E67" t="str">
            <v>คผ.D ปล.</v>
          </cell>
          <cell r="F67" t="str">
            <v>Operation</v>
          </cell>
          <cell r="G67">
            <v>33.347022587268988</v>
          </cell>
          <cell r="H67" t="str">
            <v>Male</v>
          </cell>
          <cell r="I67" t="str">
            <v>ไม่สูบ</v>
          </cell>
          <cell r="J67">
            <v>136</v>
          </cell>
          <cell r="K67">
            <v>185</v>
          </cell>
          <cell r="L67">
            <v>82.5</v>
          </cell>
          <cell r="M67">
            <v>24.105186267348429</v>
          </cell>
          <cell r="N67">
            <v>93</v>
          </cell>
          <cell r="O67" t="str">
            <v>ไม่มี</v>
          </cell>
          <cell r="P67">
            <v>82</v>
          </cell>
          <cell r="Q67">
            <v>181</v>
          </cell>
          <cell r="R67">
            <v>1</v>
          </cell>
          <cell r="S67">
            <v>0</v>
          </cell>
          <cell r="T67">
            <v>0</v>
          </cell>
          <cell r="U67">
            <v>6.3417368583162217</v>
          </cell>
          <cell r="V67">
            <v>1.7700823419012024</v>
          </cell>
          <cell r="W67" t="str">
            <v>ความเสี่ยงต่ำ</v>
          </cell>
        </row>
        <row r="68">
          <cell r="A68">
            <v>400211</v>
          </cell>
          <cell r="B68" t="str">
            <v>นาย</v>
          </cell>
          <cell r="C68" t="str">
            <v>อภิชาติ</v>
          </cell>
          <cell r="D68" t="str">
            <v>พูนแก้ว</v>
          </cell>
          <cell r="E68" t="str">
            <v>วก.วบก.</v>
          </cell>
          <cell r="F68" t="str">
            <v>Maintenance</v>
          </cell>
          <cell r="G68">
            <v>50.34360027378505</v>
          </cell>
          <cell r="H68" t="str">
            <v>Male</v>
          </cell>
          <cell r="I68" t="str">
            <v>ไม่สูบ</v>
          </cell>
          <cell r="J68">
            <v>147</v>
          </cell>
          <cell r="K68">
            <v>176</v>
          </cell>
          <cell r="L68">
            <v>101.4</v>
          </cell>
          <cell r="M68">
            <v>32.735020661157023</v>
          </cell>
          <cell r="N68">
            <v>109</v>
          </cell>
          <cell r="O68" t="str">
            <v>โรคภูมิแพ้</v>
          </cell>
          <cell r="P68">
            <v>96</v>
          </cell>
          <cell r="Q68">
            <v>198</v>
          </cell>
          <cell r="R68">
            <v>1</v>
          </cell>
          <cell r="S68">
            <v>0</v>
          </cell>
          <cell r="T68">
            <v>0</v>
          </cell>
          <cell r="U68">
            <v>7.9978468104038312</v>
          </cell>
          <cell r="V68">
            <v>8.931956974019851</v>
          </cell>
          <cell r="W68" t="str">
            <v>ความเสี่ยงต่ำ</v>
          </cell>
        </row>
        <row r="69">
          <cell r="A69">
            <v>540363</v>
          </cell>
          <cell r="B69" t="str">
            <v>นางสาว</v>
          </cell>
          <cell r="C69" t="str">
            <v>สุจิตรา</v>
          </cell>
          <cell r="D69" t="str">
            <v>ปานณรงค์</v>
          </cell>
          <cell r="E69" t="str">
            <v>ปภ.ผยก.</v>
          </cell>
          <cell r="F69" t="str">
            <v>Support</v>
          </cell>
          <cell r="G69">
            <v>39.72895277207391</v>
          </cell>
          <cell r="H69" t="str">
            <v>Female</v>
          </cell>
          <cell r="I69" t="str">
            <v>ไม่สูบ</v>
          </cell>
          <cell r="J69">
            <v>105</v>
          </cell>
          <cell r="K69">
            <v>165.5</v>
          </cell>
          <cell r="L69">
            <v>45.7</v>
          </cell>
          <cell r="M69">
            <v>16.684769215322973</v>
          </cell>
          <cell r="N69">
            <v>62</v>
          </cell>
          <cell r="O69" t="str">
            <v>โรคกระเพาะอาหาร</v>
          </cell>
          <cell r="P69">
            <v>79</v>
          </cell>
          <cell r="Q69">
            <v>238</v>
          </cell>
          <cell r="R69">
            <v>0</v>
          </cell>
          <cell r="S69">
            <v>0</v>
          </cell>
          <cell r="T69">
            <v>0</v>
          </cell>
          <cell r="U69">
            <v>5.9437802053388076</v>
          </cell>
          <cell r="V69">
            <v>1.192430679850498</v>
          </cell>
          <cell r="W69" t="str">
            <v>ความเสี่ยงต่ำ</v>
          </cell>
        </row>
        <row r="70">
          <cell r="A70">
            <v>470060</v>
          </cell>
          <cell r="B70" t="str">
            <v>นาย</v>
          </cell>
          <cell r="C70" t="str">
            <v>ชัชวาล</v>
          </cell>
          <cell r="D70" t="str">
            <v>ศรีวิเศษ</v>
          </cell>
          <cell r="E70" t="str">
            <v>คผ.C ปผ.</v>
          </cell>
          <cell r="F70" t="str">
            <v>Operation</v>
          </cell>
          <cell r="G70">
            <v>45.448323066392874</v>
          </cell>
          <cell r="H70" t="str">
            <v>Male</v>
          </cell>
          <cell r="I70" t="str">
            <v>ไม่สูบ</v>
          </cell>
          <cell r="J70">
            <v>123</v>
          </cell>
          <cell r="K70">
            <v>159.5</v>
          </cell>
          <cell r="L70">
            <v>64.400000000000006</v>
          </cell>
          <cell r="M70">
            <v>25.314216644883597</v>
          </cell>
          <cell r="N70">
            <v>79</v>
          </cell>
          <cell r="O70" t="str">
            <v>ไม่มี</v>
          </cell>
          <cell r="P70">
            <v>84</v>
          </cell>
          <cell r="Q70">
            <v>254</v>
          </cell>
          <cell r="R70">
            <v>1</v>
          </cell>
          <cell r="S70">
            <v>0</v>
          </cell>
          <cell r="T70">
            <v>0</v>
          </cell>
          <cell r="U70">
            <v>7.2158262765229289</v>
          </cell>
          <cell r="V70">
            <v>4.1900242554641203</v>
          </cell>
          <cell r="W70" t="str">
            <v>ความเสี่ยงต่ำ</v>
          </cell>
        </row>
        <row r="71">
          <cell r="A71">
            <v>530034</v>
          </cell>
          <cell r="B71" t="str">
            <v>นาย</v>
          </cell>
          <cell r="C71" t="str">
            <v>ฉัตรชัย</v>
          </cell>
          <cell r="D71" t="str">
            <v>ห้อยทอง</v>
          </cell>
          <cell r="E71" t="str">
            <v>บฟ.วบก.</v>
          </cell>
          <cell r="F71" t="str">
            <v>Maintenance</v>
          </cell>
          <cell r="G71">
            <v>41.445585215605746</v>
          </cell>
          <cell r="H71" t="str">
            <v>Male</v>
          </cell>
          <cell r="I71" t="str">
            <v>สูบ 2 มวนต่อวัน</v>
          </cell>
          <cell r="J71">
            <v>131</v>
          </cell>
          <cell r="K71">
            <v>172.5</v>
          </cell>
          <cell r="L71">
            <v>83.6</v>
          </cell>
          <cell r="M71">
            <v>28.094938038227266</v>
          </cell>
          <cell r="N71">
            <v>97</v>
          </cell>
          <cell r="O71" t="str">
            <v>ไม่มี</v>
          </cell>
          <cell r="P71">
            <v>91</v>
          </cell>
          <cell r="Q71">
            <v>258</v>
          </cell>
          <cell r="R71">
            <v>1</v>
          </cell>
          <cell r="S71">
            <v>1</v>
          </cell>
          <cell r="T71">
            <v>0</v>
          </cell>
          <cell r="U71">
            <v>7.4826422381930184</v>
          </cell>
          <cell r="V71">
            <v>5.4359357199665004</v>
          </cell>
          <cell r="W71" t="str">
            <v>ความเสี่ยงต่ำ</v>
          </cell>
        </row>
        <row r="72">
          <cell r="A72">
            <v>670020</v>
          </cell>
          <cell r="B72" t="str">
            <v>นาย</v>
          </cell>
          <cell r="C72" t="str">
            <v>สุรวัชร์</v>
          </cell>
          <cell r="D72" t="str">
            <v>เพชรมณี</v>
          </cell>
          <cell r="E72" t="str">
            <v>ผบ.วบก.</v>
          </cell>
          <cell r="F72" t="str">
            <v>Maintenance</v>
          </cell>
          <cell r="G72">
            <v>24.071184120465425</v>
          </cell>
          <cell r="H72" t="str">
            <v>Male</v>
          </cell>
          <cell r="I72" t="str">
            <v>ไม่สูบ</v>
          </cell>
          <cell r="J72">
            <v>114</v>
          </cell>
          <cell r="K72">
            <v>165.5</v>
          </cell>
          <cell r="L72">
            <v>50.4</v>
          </cell>
          <cell r="M72">
            <v>18.400708281231459</v>
          </cell>
          <cell r="N72">
            <v>68</v>
          </cell>
          <cell r="O72" t="str">
            <v>ไม่มี</v>
          </cell>
          <cell r="P72">
            <v>79</v>
          </cell>
          <cell r="Q72">
            <v>180</v>
          </cell>
          <cell r="R72">
            <v>1</v>
          </cell>
          <cell r="S72">
            <v>0</v>
          </cell>
          <cell r="T72">
            <v>0</v>
          </cell>
          <cell r="U72">
            <v>5.1220949965776859</v>
          </cell>
          <cell r="V72">
            <v>0.52606236823314889</v>
          </cell>
          <cell r="W72" t="str">
            <v>ความเสี่ยงต่ำ</v>
          </cell>
        </row>
        <row r="73">
          <cell r="A73">
            <v>670054</v>
          </cell>
          <cell r="B73" t="str">
            <v>นางสาว</v>
          </cell>
          <cell r="C73" t="str">
            <v>พรกนก</v>
          </cell>
          <cell r="D73" t="str">
            <v>บุญรัตน์</v>
          </cell>
          <cell r="E73" t="str">
            <v>ปภ.ผยก.</v>
          </cell>
          <cell r="F73" t="str">
            <v>Support</v>
          </cell>
          <cell r="G73">
            <v>25.494866529774118</v>
          </cell>
          <cell r="H73" t="str">
            <v>Female</v>
          </cell>
          <cell r="I73" t="str">
            <v>ไม่สูบ</v>
          </cell>
          <cell r="J73">
            <v>102</v>
          </cell>
          <cell r="K73">
            <v>160.5</v>
          </cell>
          <cell r="L73">
            <v>47.3</v>
          </cell>
          <cell r="M73">
            <v>18.361623043254628</v>
          </cell>
          <cell r="N73">
            <v>70</v>
          </cell>
          <cell r="O73" t="str">
            <v>ไม่มี</v>
          </cell>
          <cell r="P73">
            <v>85</v>
          </cell>
          <cell r="Q73">
            <v>150</v>
          </cell>
          <cell r="R73">
            <v>0</v>
          </cell>
          <cell r="S73">
            <v>0</v>
          </cell>
          <cell r="T73">
            <v>0</v>
          </cell>
          <cell r="U73">
            <v>4.5299249281314156</v>
          </cell>
          <cell r="V73">
            <v>0.29132148737688324</v>
          </cell>
          <cell r="W73" t="str">
            <v>ความเสี่ยงต่ำ</v>
          </cell>
        </row>
        <row r="74">
          <cell r="A74">
            <v>560184</v>
          </cell>
          <cell r="B74" t="str">
            <v>นาย</v>
          </cell>
          <cell r="C74" t="str">
            <v>กฤษฎา</v>
          </cell>
          <cell r="D74" t="str">
            <v>คณะแพง</v>
          </cell>
          <cell r="E74" t="str">
            <v>ผ.ปก.A ปอ.</v>
          </cell>
          <cell r="F74" t="str">
            <v>Operation</v>
          </cell>
          <cell r="G74">
            <v>33.002053388090332</v>
          </cell>
          <cell r="H74" t="str">
            <v>Male</v>
          </cell>
          <cell r="I74" t="str">
            <v>ไม่สูบ</v>
          </cell>
          <cell r="J74">
            <v>116</v>
          </cell>
          <cell r="K74">
            <v>163.5</v>
          </cell>
          <cell r="L74">
            <v>59.8</v>
          </cell>
          <cell r="M74">
            <v>22.36998382104013</v>
          </cell>
          <cell r="N74">
            <v>79</v>
          </cell>
          <cell r="O74" t="str">
            <v>ไม่มี</v>
          </cell>
          <cell r="P74">
            <v>79</v>
          </cell>
          <cell r="Q74">
            <v>185</v>
          </cell>
          <cell r="R74">
            <v>1</v>
          </cell>
          <cell r="S74">
            <v>0</v>
          </cell>
          <cell r="T74">
            <v>0</v>
          </cell>
          <cell r="U74">
            <v>5.9051880287474319</v>
          </cell>
          <cell r="V74">
            <v>1.1475488761927166</v>
          </cell>
          <cell r="W74" t="str">
            <v>ความเสี่ยงต่ำ</v>
          </cell>
        </row>
        <row r="75">
          <cell r="A75">
            <v>670127</v>
          </cell>
          <cell r="B75" t="str">
            <v>นาย</v>
          </cell>
          <cell r="C75" t="str">
            <v>เกรียงศักดิ์</v>
          </cell>
          <cell r="D75" t="str">
            <v>ภู่พัฒน์</v>
          </cell>
          <cell r="E75" t="str">
            <v>บง.วบก.</v>
          </cell>
          <cell r="F75" t="str">
            <v>Maintenance</v>
          </cell>
          <cell r="G75">
            <v>22.203969883641335</v>
          </cell>
          <cell r="H75" t="str">
            <v>Male</v>
          </cell>
          <cell r="I75" t="str">
            <v>ไม่สูบ</v>
          </cell>
          <cell r="J75">
            <v>116</v>
          </cell>
          <cell r="K75">
            <v>171</v>
          </cell>
          <cell r="L75">
            <v>72.8</v>
          </cell>
          <cell r="M75">
            <v>24.896549365616771</v>
          </cell>
          <cell r="N75">
            <v>79</v>
          </cell>
          <cell r="O75" t="str">
            <v>โรคความดันโลหิตสูง โรคเบาหวาน</v>
          </cell>
          <cell r="P75">
            <v>80</v>
          </cell>
          <cell r="Q75">
            <v>213</v>
          </cell>
          <cell r="R75">
            <v>1</v>
          </cell>
          <cell r="S75">
            <v>0</v>
          </cell>
          <cell r="T75">
            <v>1</v>
          </cell>
          <cell r="U75">
            <v>5.7806808555783702</v>
          </cell>
          <cell r="V75">
            <v>1.0138910457887396</v>
          </cell>
          <cell r="W75" t="str">
            <v>ความเสี่ยงต่ำ</v>
          </cell>
        </row>
        <row r="76">
          <cell r="A76">
            <v>550153</v>
          </cell>
          <cell r="B76" t="str">
            <v>นาย</v>
          </cell>
          <cell r="C76" t="str">
            <v>สำราญ</v>
          </cell>
          <cell r="D76" t="str">
            <v>ปิงวัง</v>
          </cell>
          <cell r="E76" t="str">
            <v>บฟ.วบก.</v>
          </cell>
          <cell r="F76" t="str">
            <v>Maintenance</v>
          </cell>
          <cell r="G76">
            <v>40.29021218343599</v>
          </cell>
          <cell r="H76" t="str">
            <v>Male</v>
          </cell>
          <cell r="I76" t="str">
            <v>ไม่สูบ</v>
          </cell>
          <cell r="J76">
            <v>122</v>
          </cell>
          <cell r="K76">
            <v>173</v>
          </cell>
          <cell r="L76">
            <v>72.3</v>
          </cell>
          <cell r="M76">
            <v>24.157171973671019</v>
          </cell>
          <cell r="N76">
            <v>88</v>
          </cell>
          <cell r="O76" t="str">
            <v>ไม่มี</v>
          </cell>
          <cell r="P76">
            <v>92</v>
          </cell>
          <cell r="Q76">
            <v>232</v>
          </cell>
          <cell r="R76">
            <v>1</v>
          </cell>
          <cell r="S76">
            <v>0</v>
          </cell>
          <cell r="T76">
            <v>0</v>
          </cell>
          <cell r="U76">
            <v>6.7262580629705671</v>
          </cell>
          <cell r="V76">
            <v>2.5892685780830038</v>
          </cell>
          <cell r="W76" t="str">
            <v>ความเสี่ยงต่ำ</v>
          </cell>
        </row>
        <row r="77">
          <cell r="A77">
            <v>490010</v>
          </cell>
          <cell r="B77" t="str">
            <v>นาย</v>
          </cell>
          <cell r="C77" t="str">
            <v>พรเทพ</v>
          </cell>
          <cell r="D77" t="str">
            <v>รุ่งรัศมี</v>
          </cell>
          <cell r="E77" t="str">
            <v>ผบ.วบก.</v>
          </cell>
          <cell r="F77" t="str">
            <v>Maintenance</v>
          </cell>
          <cell r="G77">
            <v>45.83983572895275</v>
          </cell>
          <cell r="H77" t="str">
            <v>Male</v>
          </cell>
          <cell r="I77" t="str">
            <v>ไม่สูบ</v>
          </cell>
          <cell r="J77">
            <v>116</v>
          </cell>
          <cell r="K77">
            <v>171.5</v>
          </cell>
          <cell r="L77">
            <v>58.6</v>
          </cell>
          <cell r="M77">
            <v>19.923671259424218</v>
          </cell>
          <cell r="N77">
            <v>76</v>
          </cell>
          <cell r="O77" t="str">
            <v>ไขมันในเลือดสูง</v>
          </cell>
          <cell r="P77">
            <v>90</v>
          </cell>
          <cell r="Q77">
            <v>169</v>
          </cell>
          <cell r="R77">
            <v>1</v>
          </cell>
          <cell r="S77">
            <v>0</v>
          </cell>
          <cell r="T77">
            <v>0</v>
          </cell>
          <cell r="U77">
            <v>6.9217837577002035</v>
          </cell>
          <cell r="V77">
            <v>3.1395587199214425</v>
          </cell>
          <cell r="W77" t="str">
            <v>ความเสี่ยงต่ำ</v>
          </cell>
        </row>
        <row r="78">
          <cell r="A78">
            <v>670119</v>
          </cell>
          <cell r="B78" t="str">
            <v>นาย</v>
          </cell>
          <cell r="C78" t="str">
            <v>จักริน</v>
          </cell>
          <cell r="D78" t="str">
            <v>หวินกำปัง</v>
          </cell>
          <cell r="E78" t="str">
            <v>วก.วบก.</v>
          </cell>
          <cell r="F78" t="str">
            <v>Maintenance</v>
          </cell>
          <cell r="G78">
            <v>23.797399041752211</v>
          </cell>
          <cell r="H78" t="str">
            <v>Male</v>
          </cell>
          <cell r="I78" t="str">
            <v>ไม่สูบ</v>
          </cell>
          <cell r="J78">
            <v>121</v>
          </cell>
          <cell r="K78">
            <v>182</v>
          </cell>
          <cell r="L78">
            <v>82.2</v>
          </cell>
          <cell r="M78">
            <v>24.815843497162177</v>
          </cell>
          <cell r="N78">
            <v>90</v>
          </cell>
          <cell r="O78" t="str">
            <v>ไม่มี</v>
          </cell>
          <cell r="P78">
            <v>93</v>
          </cell>
          <cell r="Q78">
            <v>181</v>
          </cell>
          <cell r="R78">
            <v>1</v>
          </cell>
          <cell r="S78">
            <v>0</v>
          </cell>
          <cell r="T78">
            <v>0</v>
          </cell>
          <cell r="U78">
            <v>5.2476911635865839</v>
          </cell>
          <cell r="V78">
            <v>0.59625196989862017</v>
          </cell>
          <cell r="W78" t="str">
            <v>ความเสี่ยงต่ำ</v>
          </cell>
        </row>
        <row r="79">
          <cell r="A79">
            <v>350055</v>
          </cell>
          <cell r="B79" t="str">
            <v>นาย</v>
          </cell>
          <cell r="C79" t="str">
            <v>นิเวศ</v>
          </cell>
          <cell r="D79" t="str">
            <v>พุ่มพวง</v>
          </cell>
          <cell r="E79" t="str">
            <v>บฟ.วบก.</v>
          </cell>
          <cell r="F79" t="str">
            <v>Maintenance</v>
          </cell>
          <cell r="G79">
            <v>56.23819301848048</v>
          </cell>
          <cell r="H79" t="str">
            <v>Male</v>
          </cell>
          <cell r="I79" t="str">
            <v>ไม่สูบ</v>
          </cell>
          <cell r="J79">
            <v>113</v>
          </cell>
          <cell r="K79">
            <v>169.5</v>
          </cell>
          <cell r="L79">
            <v>73.900000000000006</v>
          </cell>
          <cell r="M79">
            <v>25.722017733921565</v>
          </cell>
          <cell r="N79">
            <v>93</v>
          </cell>
          <cell r="O79" t="str">
            <v>ไม่มี</v>
          </cell>
          <cell r="P79">
            <v>94</v>
          </cell>
          <cell r="Q79">
            <v>225</v>
          </cell>
          <cell r="R79">
            <v>1</v>
          </cell>
          <cell r="S79">
            <v>0</v>
          </cell>
          <cell r="T79">
            <v>0</v>
          </cell>
          <cell r="U79">
            <v>7.8288813347022579</v>
          </cell>
          <cell r="V79">
            <v>7.5976441590250747</v>
          </cell>
          <cell r="W79" t="str">
            <v>ความเสี่ยงต่ำ</v>
          </cell>
        </row>
        <row r="80">
          <cell r="A80">
            <v>620073</v>
          </cell>
          <cell r="B80" t="str">
            <v>นางสาว</v>
          </cell>
          <cell r="C80" t="str">
            <v>ธัญวรัตน์</v>
          </cell>
          <cell r="D80" t="str">
            <v>ชาน</v>
          </cell>
          <cell r="E80" t="str">
            <v>ปภ.ผยก.</v>
          </cell>
          <cell r="F80" t="str">
            <v>Support</v>
          </cell>
          <cell r="G80">
            <v>32.150581793292261</v>
          </cell>
          <cell r="H80" t="str">
            <v>Female</v>
          </cell>
          <cell r="I80" t="str">
            <v>ไม่สูบ</v>
          </cell>
          <cell r="J80">
            <v>104</v>
          </cell>
          <cell r="K80">
            <v>164</v>
          </cell>
          <cell r="L80">
            <v>60.5</v>
          </cell>
          <cell r="M80">
            <v>22.494051160023794</v>
          </cell>
          <cell r="N80">
            <v>75</v>
          </cell>
          <cell r="O80" t="str">
            <v>โรคความดันโลหิตสูง ไขมันในเลือดสูง โรคคาวาซากิ</v>
          </cell>
          <cell r="P80">
            <v>95</v>
          </cell>
          <cell r="Q80">
            <v>179</v>
          </cell>
          <cell r="R80">
            <v>0</v>
          </cell>
          <cell r="S80">
            <v>0</v>
          </cell>
          <cell r="T80">
            <v>0</v>
          </cell>
          <cell r="U80">
            <v>5.1777221081451055</v>
          </cell>
          <cell r="V80">
            <v>0.55607110043685015</v>
          </cell>
          <cell r="W80" t="str">
            <v>ความเสี่ยงต่ำ</v>
          </cell>
        </row>
        <row r="81">
          <cell r="A81">
            <v>530084</v>
          </cell>
          <cell r="B81" t="str">
            <v>นาย</v>
          </cell>
          <cell r="C81" t="str">
            <v>ธนะชัย</v>
          </cell>
          <cell r="D81" t="str">
            <v>โชติช่วง</v>
          </cell>
          <cell r="E81" t="str">
            <v>คผ.B ปผ.</v>
          </cell>
          <cell r="F81" t="str">
            <v>Operation</v>
          </cell>
          <cell r="G81">
            <v>43.644079397672819</v>
          </cell>
          <cell r="H81" t="str">
            <v>Male</v>
          </cell>
          <cell r="I81" t="str">
            <v>ไม่สูบ</v>
          </cell>
          <cell r="J81">
            <v>123</v>
          </cell>
          <cell r="K81">
            <v>177.5</v>
          </cell>
          <cell r="L81">
            <v>84.4</v>
          </cell>
          <cell r="M81">
            <v>26.78833564768895</v>
          </cell>
          <cell r="N81">
            <v>99</v>
          </cell>
          <cell r="O81" t="str">
            <v>ไม่มี</v>
          </cell>
          <cell r="P81">
            <v>108</v>
          </cell>
          <cell r="Q81">
            <v>389</v>
          </cell>
          <cell r="R81">
            <v>1</v>
          </cell>
          <cell r="S81">
            <v>0</v>
          </cell>
          <cell r="T81">
            <v>0</v>
          </cell>
          <cell r="U81">
            <v>7.354385017111567</v>
          </cell>
          <cell r="V81">
            <v>4.7975673208036307</v>
          </cell>
          <cell r="W81" t="str">
            <v>ความเสี่ยงต่ำ</v>
          </cell>
        </row>
        <row r="82">
          <cell r="A82">
            <v>550033</v>
          </cell>
          <cell r="B82" t="str">
            <v>นาย</v>
          </cell>
          <cell r="C82" t="str">
            <v>นพพล</v>
          </cell>
          <cell r="D82" t="str">
            <v>สร้อยสอิ้ง</v>
          </cell>
          <cell r="E82" t="str">
            <v>คผ.B ปผ.</v>
          </cell>
          <cell r="F82" t="str">
            <v>Operation</v>
          </cell>
          <cell r="G82">
            <v>34.976043805612576</v>
          </cell>
          <cell r="H82" t="str">
            <v>Male</v>
          </cell>
          <cell r="I82" t="str">
            <v>ไม่สูบ</v>
          </cell>
          <cell r="J82">
            <v>134</v>
          </cell>
          <cell r="K82">
            <v>170.5</v>
          </cell>
          <cell r="L82">
            <v>76.900000000000006</v>
          </cell>
          <cell r="M82">
            <v>26.453160877529431</v>
          </cell>
          <cell r="N82">
            <v>92</v>
          </cell>
          <cell r="O82" t="str">
            <v>ไม่มี</v>
          </cell>
          <cell r="P82">
            <v>77</v>
          </cell>
          <cell r="Q82">
            <v>185</v>
          </cell>
          <cell r="R82">
            <v>1</v>
          </cell>
          <cell r="S82">
            <v>0</v>
          </cell>
          <cell r="T82">
            <v>0</v>
          </cell>
          <cell r="U82">
            <v>6.4418396646132772</v>
          </cell>
          <cell r="V82">
            <v>1.9546119081757074</v>
          </cell>
          <cell r="W82" t="str">
            <v>ความเสี่ยงต่ำ</v>
          </cell>
        </row>
        <row r="83">
          <cell r="A83">
            <v>600071</v>
          </cell>
          <cell r="B83" t="str">
            <v>นาย</v>
          </cell>
          <cell r="C83" t="str">
            <v>ว่าที่ร้อยตรีสัณห์ธวัช</v>
          </cell>
          <cell r="D83" t="str">
            <v>เด่นเมธารัตน์</v>
          </cell>
          <cell r="E83" t="str">
            <v>อท.บรก.</v>
          </cell>
          <cell r="F83" t="str">
            <v>Support</v>
          </cell>
          <cell r="G83">
            <v>36.424366872005471</v>
          </cell>
          <cell r="H83" t="str">
            <v>Male</v>
          </cell>
          <cell r="I83" t="str">
            <v>ไม่สูบ</v>
          </cell>
          <cell r="J83">
            <v>136</v>
          </cell>
          <cell r="K83">
            <v>169</v>
          </cell>
          <cell r="L83">
            <v>85.3</v>
          </cell>
          <cell r="M83">
            <v>29.86590105388467</v>
          </cell>
          <cell r="N83">
            <v>98</v>
          </cell>
          <cell r="O83" t="str">
            <v>ไม่มี</v>
          </cell>
          <cell r="P83">
            <v>79</v>
          </cell>
          <cell r="Q83">
            <v>191</v>
          </cell>
          <cell r="R83">
            <v>1</v>
          </cell>
          <cell r="S83">
            <v>0</v>
          </cell>
          <cell r="T83">
            <v>0</v>
          </cell>
          <cell r="U83">
            <v>6.6147559411362078</v>
          </cell>
          <cell r="V83">
            <v>2.319267842540218</v>
          </cell>
          <cell r="W83" t="str">
            <v>ความเสี่ยงต่ำ</v>
          </cell>
        </row>
        <row r="84">
          <cell r="A84">
            <v>640019</v>
          </cell>
          <cell r="B84" t="str">
            <v>นาย</v>
          </cell>
          <cell r="C84" t="str">
            <v>กษิมนัส</v>
          </cell>
          <cell r="D84" t="str">
            <v>วิบูลยเสข</v>
          </cell>
          <cell r="E84" t="str">
            <v>ทน.ทผก.</v>
          </cell>
          <cell r="F84" t="str">
            <v>Support</v>
          </cell>
          <cell r="G84">
            <v>32.599589322381924</v>
          </cell>
          <cell r="H84" t="str">
            <v>Male</v>
          </cell>
          <cell r="I84" t="str">
            <v>ไม่สูบ</v>
          </cell>
          <cell r="J84">
            <v>100</v>
          </cell>
          <cell r="K84">
            <v>170</v>
          </cell>
          <cell r="L84">
            <v>67.5</v>
          </cell>
          <cell r="M84">
            <v>23.356401384083043</v>
          </cell>
          <cell r="N84">
            <v>79</v>
          </cell>
          <cell r="O84" t="str">
            <v>ไมเกรน</v>
          </cell>
          <cell r="P84">
            <v>93</v>
          </cell>
          <cell r="Q84">
            <v>209</v>
          </cell>
          <cell r="R84">
            <v>1</v>
          </cell>
          <cell r="S84">
            <v>0</v>
          </cell>
          <cell r="T84">
            <v>0</v>
          </cell>
          <cell r="U84">
            <v>5.5896943942505128</v>
          </cell>
          <cell r="V84">
            <v>0.83836096045776243</v>
          </cell>
          <cell r="W84" t="str">
            <v>ความเสี่ยงต่ำ</v>
          </cell>
        </row>
        <row r="85">
          <cell r="A85">
            <v>520164</v>
          </cell>
          <cell r="B85" t="str">
            <v>นาย</v>
          </cell>
          <cell r="C85" t="str">
            <v>ธีรภัทร</v>
          </cell>
          <cell r="D85" t="str">
            <v>รัตนสุวรรณ</v>
          </cell>
          <cell r="E85" t="str">
            <v>วผ.ทผก.</v>
          </cell>
          <cell r="F85" t="str">
            <v>Support</v>
          </cell>
          <cell r="G85">
            <v>41.163586584531146</v>
          </cell>
          <cell r="H85" t="str">
            <v>Male</v>
          </cell>
          <cell r="I85" t="str">
            <v>ไม่สูบ</v>
          </cell>
          <cell r="J85">
            <v>128</v>
          </cell>
          <cell r="K85">
            <v>175</v>
          </cell>
          <cell r="L85">
            <v>86.6</v>
          </cell>
          <cell r="M85">
            <v>28.277551020408161</v>
          </cell>
          <cell r="N85">
            <v>92</v>
          </cell>
          <cell r="O85" t="str">
            <v>ไม่มี</v>
          </cell>
          <cell r="P85">
            <v>83</v>
          </cell>
          <cell r="Q85">
            <v>287</v>
          </cell>
          <cell r="R85">
            <v>1</v>
          </cell>
          <cell r="S85">
            <v>0</v>
          </cell>
          <cell r="T85">
            <v>0</v>
          </cell>
          <cell r="U85">
            <v>7.0393662902121834</v>
          </cell>
          <cell r="V85">
            <v>3.5243144599387932</v>
          </cell>
          <cell r="W85" t="str">
            <v>ความเสี่ยงต่ำ</v>
          </cell>
        </row>
        <row r="86">
          <cell r="A86">
            <v>650106</v>
          </cell>
          <cell r="B86" t="str">
            <v>นาย</v>
          </cell>
          <cell r="C86" t="str">
            <v>นนทนัตถ์</v>
          </cell>
          <cell r="D86" t="str">
            <v>รัตนกุญชร</v>
          </cell>
          <cell r="E86" t="str">
            <v>กช.บรก.</v>
          </cell>
          <cell r="F86" t="str">
            <v>Support</v>
          </cell>
          <cell r="G86">
            <v>28.517453798767963</v>
          </cell>
          <cell r="H86" t="str">
            <v>Male</v>
          </cell>
          <cell r="I86" t="str">
            <v>ไม่สูบ</v>
          </cell>
          <cell r="J86">
            <v>129</v>
          </cell>
          <cell r="K86">
            <v>181.5</v>
          </cell>
          <cell r="L86">
            <v>84.5</v>
          </cell>
          <cell r="M86">
            <v>25.650949768154877</v>
          </cell>
          <cell r="N86">
            <v>89</v>
          </cell>
          <cell r="O86" t="str">
            <v>ไม่มี</v>
          </cell>
          <cell r="P86">
            <v>85</v>
          </cell>
          <cell r="Q86">
            <v>169</v>
          </cell>
          <cell r="R86">
            <v>1</v>
          </cell>
          <cell r="S86">
            <v>0</v>
          </cell>
          <cell r="T86">
            <v>0</v>
          </cell>
          <cell r="U86">
            <v>5.775213244353183</v>
          </cell>
          <cell r="V86">
            <v>1.0083905796975601</v>
          </cell>
          <cell r="W86" t="str">
            <v>ความเสี่ยงต่ำ</v>
          </cell>
        </row>
        <row r="87">
          <cell r="A87">
            <v>580255</v>
          </cell>
          <cell r="B87" t="str">
            <v>นาย</v>
          </cell>
          <cell r="C87" t="str">
            <v>ภานุเดช</v>
          </cell>
          <cell r="D87" t="str">
            <v>ศรีพรมษา</v>
          </cell>
          <cell r="E87" t="str">
            <v>คผ.C ปผ.</v>
          </cell>
          <cell r="F87" t="str">
            <v>Operation</v>
          </cell>
          <cell r="G87">
            <v>30.36276522929499</v>
          </cell>
          <cell r="H87" t="str">
            <v>Male</v>
          </cell>
          <cell r="I87" t="str">
            <v>ไม่สูบ</v>
          </cell>
          <cell r="J87">
            <v>106</v>
          </cell>
          <cell r="K87">
            <v>171</v>
          </cell>
          <cell r="L87">
            <v>70.599999999999994</v>
          </cell>
          <cell r="M87">
            <v>24.144181115556922</v>
          </cell>
          <cell r="N87">
            <v>82</v>
          </cell>
          <cell r="O87" t="str">
            <v>ไม่มี</v>
          </cell>
          <cell r="P87">
            <v>76</v>
          </cell>
          <cell r="Q87">
            <v>305</v>
          </cell>
          <cell r="R87">
            <v>1</v>
          </cell>
          <cell r="S87">
            <v>0</v>
          </cell>
          <cell r="T87">
            <v>0</v>
          </cell>
          <cell r="U87">
            <v>5.7352150787132095</v>
          </cell>
          <cell r="V87">
            <v>0.96904500069341371</v>
          </cell>
          <cell r="W87" t="str">
            <v>ความเสี่ยงต่ำ</v>
          </cell>
        </row>
        <row r="88">
          <cell r="A88">
            <v>560009</v>
          </cell>
          <cell r="B88" t="str">
            <v>นาย</v>
          </cell>
          <cell r="C88" t="str">
            <v>ศรชัย</v>
          </cell>
          <cell r="D88" t="str">
            <v>อุดหมอ</v>
          </cell>
          <cell r="E88" t="str">
            <v>ผ.ปก.D ปอ.</v>
          </cell>
          <cell r="F88" t="str">
            <v>Operation</v>
          </cell>
          <cell r="G88">
            <v>35.512662559890479</v>
          </cell>
          <cell r="H88" t="str">
            <v>Male</v>
          </cell>
          <cell r="I88" t="str">
            <v>ไม่สูบ</v>
          </cell>
          <cell r="J88">
            <v>139</v>
          </cell>
          <cell r="K88">
            <v>173</v>
          </cell>
          <cell r="L88">
            <v>79.8</v>
          </cell>
          <cell r="M88">
            <v>26.663102676333992</v>
          </cell>
          <cell r="N88">
            <v>97</v>
          </cell>
          <cell r="O88" t="str">
            <v>ไม่มี</v>
          </cell>
          <cell r="P88">
            <v>96</v>
          </cell>
          <cell r="Q88">
            <v>252</v>
          </cell>
          <cell r="R88">
            <v>1</v>
          </cell>
          <cell r="S88">
            <v>0</v>
          </cell>
          <cell r="T88">
            <v>0</v>
          </cell>
          <cell r="U88">
            <v>6.7319911772758374</v>
          </cell>
          <cell r="V88">
            <v>2.6039602567984543</v>
          </cell>
          <cell r="W88" t="str">
            <v>ความเสี่ยงต่ำ</v>
          </cell>
        </row>
        <row r="89">
          <cell r="A89">
            <v>480239</v>
          </cell>
          <cell r="B89" t="str">
            <v>นาย</v>
          </cell>
          <cell r="C89" t="str">
            <v>มานิตย์</v>
          </cell>
          <cell r="D89" t="str">
            <v>อารีผล</v>
          </cell>
          <cell r="E89" t="str">
            <v>บค.วบก.</v>
          </cell>
          <cell r="F89" t="str">
            <v>Maintenance</v>
          </cell>
          <cell r="G89">
            <v>42.220396988364122</v>
          </cell>
          <cell r="H89" t="str">
            <v>Male</v>
          </cell>
          <cell r="I89" t="str">
            <v>ไม่สูบ</v>
          </cell>
          <cell r="J89">
            <v>122</v>
          </cell>
          <cell r="K89">
            <v>166</v>
          </cell>
          <cell r="L89">
            <v>80.8</v>
          </cell>
          <cell r="M89">
            <v>29.322107707940194</v>
          </cell>
          <cell r="N89">
            <v>95</v>
          </cell>
          <cell r="O89" t="str">
            <v>ไขมันในเลือดสูง , โรคเก๊าท์</v>
          </cell>
          <cell r="P89">
            <v>95</v>
          </cell>
          <cell r="Q89">
            <v>253</v>
          </cell>
          <cell r="R89">
            <v>1</v>
          </cell>
          <cell r="S89">
            <v>0</v>
          </cell>
          <cell r="T89">
            <v>0</v>
          </cell>
          <cell r="U89">
            <v>6.9287250855578364</v>
          </cell>
          <cell r="V89">
            <v>3.161077908496146</v>
          </cell>
          <cell r="W89" t="str">
            <v>ความเสี่ยงต่ำ</v>
          </cell>
        </row>
        <row r="90">
          <cell r="A90">
            <v>540228</v>
          </cell>
          <cell r="B90" t="str">
            <v>นาย</v>
          </cell>
          <cell r="C90" t="str">
            <v>จิตรดิลก</v>
          </cell>
          <cell r="D90" t="str">
            <v>ประสิทธิ์เสริฐ</v>
          </cell>
          <cell r="E90" t="str">
            <v>ตร.วบก.</v>
          </cell>
          <cell r="F90" t="str">
            <v>Maintenance</v>
          </cell>
          <cell r="G90">
            <v>35.707049965776854</v>
          </cell>
          <cell r="H90" t="str">
            <v>Male</v>
          </cell>
          <cell r="I90" t="str">
            <v>ไม่สูบ</v>
          </cell>
          <cell r="J90">
            <v>132</v>
          </cell>
          <cell r="K90">
            <v>181</v>
          </cell>
          <cell r="L90">
            <v>91.5</v>
          </cell>
          <cell r="M90">
            <v>27.929550380025031</v>
          </cell>
          <cell r="N90">
            <v>97</v>
          </cell>
          <cell r="O90" t="str">
            <v>ไม่มี</v>
          </cell>
          <cell r="P90">
            <v>93</v>
          </cell>
          <cell r="Q90">
            <v>181</v>
          </cell>
          <cell r="R90">
            <v>1</v>
          </cell>
          <cell r="S90">
            <v>0</v>
          </cell>
          <cell r="T90">
            <v>0</v>
          </cell>
          <cell r="U90">
            <v>6.45149789869952</v>
          </cell>
          <cell r="V90">
            <v>1.97339305678782</v>
          </cell>
          <cell r="W90" t="str">
            <v>ความเสี่ยงต่ำ</v>
          </cell>
        </row>
        <row r="91">
          <cell r="A91">
            <v>640082</v>
          </cell>
          <cell r="B91" t="str">
            <v>นาย</v>
          </cell>
          <cell r="C91" t="str">
            <v>มาโนช</v>
          </cell>
          <cell r="D91" t="str">
            <v>ประดับเพ็ชร</v>
          </cell>
          <cell r="E91" t="str">
            <v>คผ.D ปล.</v>
          </cell>
          <cell r="F91" t="str">
            <v>Operation</v>
          </cell>
          <cell r="G91">
            <v>30.521560574948651</v>
          </cell>
          <cell r="H91" t="str">
            <v>Male</v>
          </cell>
          <cell r="I91" t="str">
            <v>ไม่ระบุ</v>
          </cell>
          <cell r="J91">
            <v>109</v>
          </cell>
          <cell r="K91">
            <v>176</v>
          </cell>
          <cell r="L91">
            <v>82</v>
          </cell>
          <cell r="M91">
            <v>26.472107438016529</v>
          </cell>
          <cell r="N91">
            <v>91</v>
          </cell>
          <cell r="O91" t="str">
            <v>ไม่มี</v>
          </cell>
          <cell r="P91">
            <v>101</v>
          </cell>
          <cell r="Q91">
            <v>208</v>
          </cell>
          <cell r="R91">
            <v>1</v>
          </cell>
          <cell r="S91">
            <v>1</v>
          </cell>
          <cell r="T91">
            <v>0</v>
          </cell>
          <cell r="U91">
            <v>6.0242493018480472</v>
          </cell>
          <cell r="V91">
            <v>1.2917028054067914</v>
          </cell>
          <cell r="W91" t="str">
            <v>ความเสี่ยงต่ำ</v>
          </cell>
        </row>
        <row r="92">
          <cell r="A92">
            <v>590021</v>
          </cell>
          <cell r="B92" t="str">
            <v>นาย</v>
          </cell>
          <cell r="C92" t="str">
            <v>วสันต์</v>
          </cell>
          <cell r="D92" t="str">
            <v>ว่องวิกาล</v>
          </cell>
          <cell r="E92" t="str">
            <v>คผ.C ปล.</v>
          </cell>
          <cell r="F92" t="str">
            <v>Operation</v>
          </cell>
          <cell r="G92">
            <v>31.939767282683079</v>
          </cell>
          <cell r="H92" t="str">
            <v>Male</v>
          </cell>
          <cell r="I92" t="str">
            <v>ไม่สูบ</v>
          </cell>
          <cell r="J92">
            <v>135</v>
          </cell>
          <cell r="K92">
            <v>183</v>
          </cell>
          <cell r="L92">
            <v>87.5</v>
          </cell>
          <cell r="M92">
            <v>26.127982322553674</v>
          </cell>
          <cell r="N92">
            <v>94</v>
          </cell>
          <cell r="O92" t="str">
            <v>ไม่มี</v>
          </cell>
          <cell r="P92">
            <v>91</v>
          </cell>
          <cell r="Q92">
            <v>258</v>
          </cell>
          <cell r="R92">
            <v>1</v>
          </cell>
          <cell r="S92">
            <v>0</v>
          </cell>
          <cell r="T92">
            <v>0</v>
          </cell>
          <cell r="U92">
            <v>6.3689811567419561</v>
          </cell>
          <cell r="V92">
            <v>1.8185227248625035</v>
          </cell>
          <cell r="W92" t="str">
            <v>ความเสี่ยงต่ำ</v>
          </cell>
        </row>
        <row r="93">
          <cell r="A93">
            <v>490003</v>
          </cell>
          <cell r="B93" t="str">
            <v>นาย</v>
          </cell>
          <cell r="C93" t="str">
            <v>เกียรติศักดิ์</v>
          </cell>
          <cell r="D93" t="str">
            <v>เพชรวิบูลย์การ</v>
          </cell>
          <cell r="E93" t="str">
            <v>บง.วบก.</v>
          </cell>
          <cell r="F93" t="str">
            <v>Maintenance</v>
          </cell>
          <cell r="G93">
            <v>41.661875427789184</v>
          </cell>
          <cell r="H93" t="str">
            <v>Male</v>
          </cell>
          <cell r="I93" t="str">
            <v>ไม่สูบ</v>
          </cell>
          <cell r="J93">
            <v>106</v>
          </cell>
          <cell r="K93">
            <v>161.5</v>
          </cell>
          <cell r="L93">
            <v>64</v>
          </cell>
          <cell r="M93">
            <v>24.537760354263913</v>
          </cell>
          <cell r="N93">
            <v>83</v>
          </cell>
          <cell r="O93" t="str">
            <v>ไม่มี</v>
          </cell>
          <cell r="P93">
            <v>91</v>
          </cell>
          <cell r="Q93">
            <v>195</v>
          </cell>
          <cell r="R93">
            <v>1</v>
          </cell>
          <cell r="S93">
            <v>0</v>
          </cell>
          <cell r="T93">
            <v>0</v>
          </cell>
          <cell r="U93">
            <v>6.4266212662559896</v>
          </cell>
          <cell r="V93">
            <v>1.9253770951828453</v>
          </cell>
          <cell r="W93" t="str">
            <v>ความเสี่ยงต่ำ</v>
          </cell>
        </row>
        <row r="94">
          <cell r="A94">
            <v>580261</v>
          </cell>
          <cell r="B94" t="str">
            <v>นาย</v>
          </cell>
          <cell r="C94" t="str">
            <v>ณัฐพัชร์</v>
          </cell>
          <cell r="D94" t="str">
            <v>พิทักษ์วงษ์</v>
          </cell>
          <cell r="E94" t="str">
            <v>ผ.ปก.C ปก.</v>
          </cell>
          <cell r="F94" t="str">
            <v>Operation</v>
          </cell>
          <cell r="G94">
            <v>34.162902121834357</v>
          </cell>
          <cell r="H94" t="str">
            <v>Male</v>
          </cell>
          <cell r="I94" t="str">
            <v>ไม่สูบ</v>
          </cell>
          <cell r="J94">
            <v>127</v>
          </cell>
          <cell r="K94">
            <v>178</v>
          </cell>
          <cell r="L94">
            <v>74.5</v>
          </cell>
          <cell r="M94">
            <v>23.513445272061606</v>
          </cell>
          <cell r="N94">
            <v>90</v>
          </cell>
          <cell r="O94" t="str">
            <v>โรคความดันโลหิตสูง ไขมันในเลือดสูง</v>
          </cell>
          <cell r="P94">
            <v>93</v>
          </cell>
          <cell r="Q94">
            <v>233</v>
          </cell>
          <cell r="R94">
            <v>1</v>
          </cell>
          <cell r="S94">
            <v>0</v>
          </cell>
          <cell r="T94">
            <v>0</v>
          </cell>
          <cell r="U94">
            <v>6.3311802806297042</v>
          </cell>
          <cell r="V94">
            <v>1.7516583749576098</v>
          </cell>
          <cell r="W94" t="str">
            <v>ความเสี่ยงต่ำ</v>
          </cell>
        </row>
        <row r="95">
          <cell r="A95">
            <v>490030</v>
          </cell>
          <cell r="B95" t="str">
            <v>นาย</v>
          </cell>
          <cell r="C95" t="str">
            <v>อนุชิต</v>
          </cell>
          <cell r="D95" t="str">
            <v>วงษ์สงค์</v>
          </cell>
          <cell r="E95" t="str">
            <v>คผ.C ปผ.</v>
          </cell>
          <cell r="F95" t="str">
            <v>Operation</v>
          </cell>
          <cell r="G95">
            <v>40.829568788501021</v>
          </cell>
          <cell r="H95" t="str">
            <v>Male</v>
          </cell>
          <cell r="I95" t="str">
            <v>ไม่สูบ</v>
          </cell>
          <cell r="J95">
            <v>129</v>
          </cell>
          <cell r="K95">
            <v>160</v>
          </cell>
          <cell r="L95">
            <v>75.400000000000006</v>
          </cell>
          <cell r="M95">
            <v>29.453125</v>
          </cell>
          <cell r="N95">
            <v>99</v>
          </cell>
          <cell r="O95" t="str">
            <v>ไม่มี</v>
          </cell>
          <cell r="P95">
            <v>81</v>
          </cell>
          <cell r="Q95">
            <v>296</v>
          </cell>
          <cell r="R95">
            <v>1</v>
          </cell>
          <cell r="S95">
            <v>0</v>
          </cell>
          <cell r="T95">
            <v>0</v>
          </cell>
          <cell r="U95">
            <v>7.0519536139630388</v>
          </cell>
          <cell r="V95">
            <v>3.5681504865055946</v>
          </cell>
          <cell r="W95" t="str">
            <v>ความเสี่ยงต่ำ</v>
          </cell>
        </row>
        <row r="96">
          <cell r="A96">
            <v>640006</v>
          </cell>
          <cell r="B96" t="str">
            <v>นาย</v>
          </cell>
          <cell r="C96" t="str">
            <v>วิสุทธิ์</v>
          </cell>
          <cell r="D96" t="str">
            <v>ศรีมันตะ</v>
          </cell>
          <cell r="E96" t="str">
            <v>ผ.บพ.พย.</v>
          </cell>
          <cell r="F96" t="str">
            <v>Support</v>
          </cell>
          <cell r="G96">
            <v>32.12867898699519</v>
          </cell>
          <cell r="H96" t="str">
            <v>Male</v>
          </cell>
          <cell r="I96" t="str">
            <v>ไม่สูบ</v>
          </cell>
          <cell r="J96">
            <v>120</v>
          </cell>
          <cell r="K96">
            <v>177.5</v>
          </cell>
          <cell r="L96">
            <v>68.5</v>
          </cell>
          <cell r="M96">
            <v>21.741717913112478</v>
          </cell>
          <cell r="N96">
            <v>79</v>
          </cell>
          <cell r="O96" t="str">
            <v>ไม่มี</v>
          </cell>
          <cell r="P96">
            <v>83</v>
          </cell>
          <cell r="Q96">
            <v>189</v>
          </cell>
          <cell r="R96">
            <v>1</v>
          </cell>
          <cell r="S96">
            <v>0</v>
          </cell>
          <cell r="T96">
            <v>0</v>
          </cell>
          <cell r="U96">
            <v>5.9255598015058171</v>
          </cell>
          <cell r="V96">
            <v>1.1710274076944693</v>
          </cell>
          <cell r="W96" t="str">
            <v>ความเสี่ยงต่ำ</v>
          </cell>
        </row>
        <row r="97">
          <cell r="A97">
            <v>550361</v>
          </cell>
          <cell r="B97" t="str">
            <v>นางสาว</v>
          </cell>
          <cell r="C97" t="str">
            <v>ปรัชญาพร</v>
          </cell>
          <cell r="D97" t="str">
            <v>อ่องลออ</v>
          </cell>
          <cell r="E97" t="str">
            <v>วป.วบก.</v>
          </cell>
          <cell r="F97" t="str">
            <v>Maintenance</v>
          </cell>
          <cell r="G97">
            <v>35.770020533880896</v>
          </cell>
          <cell r="H97" t="str">
            <v>Female</v>
          </cell>
          <cell r="I97" t="str">
            <v>ไม่ระบุ</v>
          </cell>
          <cell r="J97">
            <v>144</v>
          </cell>
          <cell r="K97">
            <v>165.5</v>
          </cell>
          <cell r="L97">
            <v>107.9</v>
          </cell>
          <cell r="M97">
            <v>39.393579832239574</v>
          </cell>
          <cell r="N97">
            <v>111</v>
          </cell>
          <cell r="O97" t="str">
            <v>ไม่มี</v>
          </cell>
          <cell r="P97">
            <v>98</v>
          </cell>
          <cell r="Q97">
            <v>216</v>
          </cell>
          <cell r="R97">
            <v>0</v>
          </cell>
          <cell r="S97">
            <v>1</v>
          </cell>
          <cell r="T97">
            <v>0</v>
          </cell>
          <cell r="U97">
            <v>6.8051007802874732</v>
          </cell>
          <cell r="V97">
            <v>2.798677586323528</v>
          </cell>
          <cell r="W97" t="str">
            <v>ความเสี่ยงต่ำ</v>
          </cell>
        </row>
        <row r="98">
          <cell r="A98">
            <v>660052</v>
          </cell>
          <cell r="B98" t="str">
            <v>นาย</v>
          </cell>
          <cell r="C98" t="str">
            <v>ศุภวิชญ์</v>
          </cell>
          <cell r="D98" t="str">
            <v>บุญช่วย</v>
          </cell>
          <cell r="E98" t="str">
            <v>ทน.ทผก.</v>
          </cell>
          <cell r="F98" t="str">
            <v>Support</v>
          </cell>
          <cell r="G98">
            <v>28.008213552361383</v>
          </cell>
          <cell r="H98" t="str">
            <v>Male</v>
          </cell>
          <cell r="I98" t="str">
            <v>ไม่สูบ</v>
          </cell>
          <cell r="J98">
            <v>135</v>
          </cell>
          <cell r="K98">
            <v>172.5</v>
          </cell>
          <cell r="L98">
            <v>95.3</v>
          </cell>
          <cell r="M98">
            <v>32.026885108170553</v>
          </cell>
          <cell r="N98">
            <v>96</v>
          </cell>
          <cell r="O98" t="str">
            <v>ไม่มี</v>
          </cell>
          <cell r="P98">
            <v>90</v>
          </cell>
          <cell r="Q98">
            <v>238</v>
          </cell>
          <cell r="R98">
            <v>1</v>
          </cell>
          <cell r="S98">
            <v>0</v>
          </cell>
          <cell r="T98">
            <v>0</v>
          </cell>
          <cell r="U98">
            <v>6.0048621149897317</v>
          </cell>
          <cell r="V98">
            <v>1.2670593101615335</v>
          </cell>
          <cell r="W98" t="str">
            <v>ความเสี่ยงต่ำ</v>
          </cell>
        </row>
        <row r="99">
          <cell r="A99">
            <v>480166</v>
          </cell>
          <cell r="B99" t="str">
            <v>นาย</v>
          </cell>
          <cell r="C99" t="str">
            <v>ศศิพงษ์</v>
          </cell>
          <cell r="D99" t="str">
            <v>ศรีสมทาสุวรรณ</v>
          </cell>
          <cell r="E99" t="str">
            <v>คผ.C ปผ.</v>
          </cell>
          <cell r="F99" t="str">
            <v>Operation</v>
          </cell>
          <cell r="G99">
            <v>42.965092402464052</v>
          </cell>
          <cell r="H99" t="str">
            <v>Male</v>
          </cell>
          <cell r="I99" t="str">
            <v>ไม่สูบ</v>
          </cell>
          <cell r="J99">
            <v>135</v>
          </cell>
          <cell r="K99">
            <v>160.5</v>
          </cell>
          <cell r="L99">
            <v>62.6</v>
          </cell>
          <cell r="M99">
            <v>24.301006395512466</v>
          </cell>
          <cell r="N99">
            <v>78</v>
          </cell>
          <cell r="O99" t="str">
            <v>ไม่มี</v>
          </cell>
          <cell r="P99">
            <v>84</v>
          </cell>
          <cell r="Q99">
            <v>226</v>
          </cell>
          <cell r="R99">
            <v>1</v>
          </cell>
          <cell r="S99">
            <v>0</v>
          </cell>
          <cell r="T99">
            <v>0</v>
          </cell>
          <cell r="U99">
            <v>7.2033435112936335</v>
          </cell>
          <cell r="V99">
            <v>4.1391372282924781</v>
          </cell>
          <cell r="W99" t="str">
            <v>ความเสี่ยงต่ำ</v>
          </cell>
        </row>
        <row r="100">
          <cell r="A100">
            <v>480126</v>
          </cell>
          <cell r="B100" t="str">
            <v>นาย</v>
          </cell>
          <cell r="C100" t="str">
            <v>เอกชัย</v>
          </cell>
          <cell r="D100" t="str">
            <v>พันธ์ทอง</v>
          </cell>
          <cell r="E100" t="str">
            <v>คพ.ทผก.</v>
          </cell>
          <cell r="F100" t="str">
            <v>Support</v>
          </cell>
          <cell r="G100">
            <v>40.722792607802852</v>
          </cell>
          <cell r="H100" t="str">
            <v>Male</v>
          </cell>
          <cell r="I100" t="str">
            <v>ไม่สูบ</v>
          </cell>
          <cell r="J100">
            <v>131</v>
          </cell>
          <cell r="K100">
            <v>173.5</v>
          </cell>
          <cell r="L100">
            <v>75.599999999999994</v>
          </cell>
          <cell r="M100">
            <v>25.114401747377684</v>
          </cell>
          <cell r="N100">
            <v>92</v>
          </cell>
          <cell r="O100" t="str">
            <v>โรคภูมิแพ้</v>
          </cell>
          <cell r="P100">
            <v>85</v>
          </cell>
          <cell r="Q100">
            <v>273</v>
          </cell>
          <cell r="R100">
            <v>1</v>
          </cell>
          <cell r="S100">
            <v>0</v>
          </cell>
          <cell r="T100">
            <v>0</v>
          </cell>
          <cell r="U100">
            <v>7.0361361190965077</v>
          </cell>
          <cell r="V100">
            <v>3.5131507198857492</v>
          </cell>
          <cell r="W100" t="str">
            <v>ความเสี่ยงต่ำ</v>
          </cell>
        </row>
        <row r="101">
          <cell r="A101">
            <v>490024</v>
          </cell>
          <cell r="B101" t="str">
            <v>นาย</v>
          </cell>
          <cell r="C101" t="str">
            <v>อุทัย</v>
          </cell>
          <cell r="D101" t="str">
            <v>วงค์ชาลี</v>
          </cell>
          <cell r="E101" t="str">
            <v>บค.วบก.</v>
          </cell>
          <cell r="F101" t="str">
            <v>Maintenance</v>
          </cell>
          <cell r="G101">
            <v>43.770020533880896</v>
          </cell>
          <cell r="H101" t="str">
            <v>Male</v>
          </cell>
          <cell r="I101" t="str">
            <v>ไม่สูบ</v>
          </cell>
          <cell r="J101">
            <v>123</v>
          </cell>
          <cell r="K101">
            <v>164</v>
          </cell>
          <cell r="L101">
            <v>63.3</v>
          </cell>
          <cell r="M101">
            <v>23.535098155859608</v>
          </cell>
          <cell r="N101">
            <v>87</v>
          </cell>
          <cell r="O101" t="str">
            <v>ไม่มี</v>
          </cell>
          <cell r="P101">
            <v>100</v>
          </cell>
          <cell r="Q101">
            <v>206</v>
          </cell>
          <cell r="R101">
            <v>1</v>
          </cell>
          <cell r="S101">
            <v>0</v>
          </cell>
          <cell r="T101">
            <v>0</v>
          </cell>
          <cell r="U101">
            <v>6.9767307802874745</v>
          </cell>
          <cell r="V101">
            <v>3.3139250440283208</v>
          </cell>
          <cell r="W101" t="str">
            <v>ความเสี่ยงต่ำ</v>
          </cell>
        </row>
        <row r="102">
          <cell r="A102">
            <v>540200</v>
          </cell>
          <cell r="B102" t="str">
            <v>นาย</v>
          </cell>
          <cell r="C102" t="str">
            <v>ณรงค์</v>
          </cell>
          <cell r="D102" t="str">
            <v>ขันสาคร</v>
          </cell>
          <cell r="E102" t="str">
            <v>บง.วบก.</v>
          </cell>
          <cell r="F102" t="str">
            <v>Maintenance</v>
          </cell>
          <cell r="G102">
            <v>43.049965776865157</v>
          </cell>
          <cell r="H102" t="str">
            <v>Male</v>
          </cell>
          <cell r="I102" t="str">
            <v>ไม่สูบ</v>
          </cell>
          <cell r="J102">
            <v>133</v>
          </cell>
          <cell r="K102">
            <v>169.5</v>
          </cell>
          <cell r="L102">
            <v>72.8</v>
          </cell>
          <cell r="M102">
            <v>25.339146022049928</v>
          </cell>
          <cell r="N102">
            <v>90</v>
          </cell>
          <cell r="O102" t="str">
            <v>ไม่มี</v>
          </cell>
          <cell r="P102">
            <v>88</v>
          </cell>
          <cell r="Q102">
            <v>257</v>
          </cell>
          <cell r="R102">
            <v>1</v>
          </cell>
          <cell r="S102">
            <v>0</v>
          </cell>
          <cell r="T102">
            <v>0</v>
          </cell>
          <cell r="U102">
            <v>7.2343286995208755</v>
          </cell>
          <cell r="V102">
            <v>4.2665782288892284</v>
          </cell>
          <cell r="W102" t="str">
            <v>ความเสี่ยงต่ำ</v>
          </cell>
        </row>
        <row r="103">
          <cell r="A103">
            <v>570124</v>
          </cell>
          <cell r="B103" t="str">
            <v>นาย</v>
          </cell>
          <cell r="C103" t="str">
            <v>ธนวันต์</v>
          </cell>
          <cell r="D103" t="str">
            <v>มณีงาม</v>
          </cell>
          <cell r="E103" t="str">
            <v>บฟ.วบก.</v>
          </cell>
          <cell r="F103" t="str">
            <v>Maintenance</v>
          </cell>
          <cell r="G103">
            <v>31.780971937029427</v>
          </cell>
          <cell r="H103" t="str">
            <v>Male</v>
          </cell>
          <cell r="I103" t="str">
            <v>ไม่สูบ</v>
          </cell>
          <cell r="J103">
            <v>147</v>
          </cell>
          <cell r="K103">
            <v>185.5</v>
          </cell>
          <cell r="L103">
            <v>124.1</v>
          </cell>
          <cell r="M103">
            <v>36.064835332495406</v>
          </cell>
          <cell r="N103">
            <v>124</v>
          </cell>
          <cell r="O103" t="str">
            <v>ไม่มี</v>
          </cell>
          <cell r="P103">
            <v>114</v>
          </cell>
          <cell r="Q103">
            <v>241</v>
          </cell>
          <cell r="R103">
            <v>1</v>
          </cell>
          <cell r="S103">
            <v>0</v>
          </cell>
          <cell r="T103">
            <v>0</v>
          </cell>
          <cell r="U103">
            <v>6.5700269336071182</v>
          </cell>
          <cell r="V103">
            <v>2.2189493505203384</v>
          </cell>
          <cell r="W103" t="str">
            <v>ความเสี่ยงต่ำ</v>
          </cell>
        </row>
        <row r="104">
          <cell r="A104">
            <v>540329</v>
          </cell>
          <cell r="B104" t="str">
            <v>นาย</v>
          </cell>
          <cell r="C104" t="str">
            <v>นำโชค</v>
          </cell>
          <cell r="D104" t="str">
            <v>โรยนรินทร์</v>
          </cell>
          <cell r="E104" t="str">
            <v>ผ.ปก.A ปอ.</v>
          </cell>
          <cell r="F104" t="str">
            <v>Operation</v>
          </cell>
          <cell r="G104">
            <v>35.759069130732357</v>
          </cell>
          <cell r="H104" t="str">
            <v>Male</v>
          </cell>
          <cell r="I104" t="str">
            <v>ไม่สูบ</v>
          </cell>
          <cell r="J104">
            <v>145</v>
          </cell>
          <cell r="K104">
            <v>179.5</v>
          </cell>
          <cell r="L104">
            <v>126.8</v>
          </cell>
          <cell r="M104">
            <v>39.354132882271244</v>
          </cell>
          <cell r="N104">
            <v>127</v>
          </cell>
          <cell r="O104" t="str">
            <v>โรคไมเกรน</v>
          </cell>
          <cell r="P104">
            <v>99</v>
          </cell>
          <cell r="Q104">
            <v>219</v>
          </cell>
          <cell r="R104">
            <v>1</v>
          </cell>
          <cell r="S104">
            <v>0</v>
          </cell>
          <cell r="T104">
            <v>0</v>
          </cell>
          <cell r="U104">
            <v>6.807234626967829</v>
          </cell>
          <cell r="V104">
            <v>2.8045712841012649</v>
          </cell>
          <cell r="W104" t="str">
            <v>ความเสี่ยงต่ำ</v>
          </cell>
        </row>
        <row r="105">
          <cell r="A105">
            <v>480240</v>
          </cell>
          <cell r="B105" t="str">
            <v>นาย</v>
          </cell>
          <cell r="C105" t="str">
            <v>กมลวัต</v>
          </cell>
          <cell r="D105" t="str">
            <v>กมลพรสิริกุล</v>
          </cell>
          <cell r="E105" t="str">
            <v>คผ.A ปผ.</v>
          </cell>
          <cell r="F105" t="str">
            <v>Operation</v>
          </cell>
          <cell r="G105">
            <v>41.045859000684459</v>
          </cell>
          <cell r="H105" t="str">
            <v>Male</v>
          </cell>
          <cell r="I105" t="str">
            <v>ไม่สูบ</v>
          </cell>
          <cell r="J105">
            <v>129</v>
          </cell>
          <cell r="K105">
            <v>176.5</v>
          </cell>
          <cell r="L105">
            <v>116.3</v>
          </cell>
          <cell r="M105">
            <v>37.332776926225236</v>
          </cell>
          <cell r="N105">
            <v>114</v>
          </cell>
          <cell r="O105" t="str">
            <v>ไม่มี</v>
          </cell>
          <cell r="P105">
            <v>112</v>
          </cell>
          <cell r="Q105">
            <v>211</v>
          </cell>
          <cell r="R105">
            <v>1</v>
          </cell>
          <cell r="S105">
            <v>0</v>
          </cell>
          <cell r="T105">
            <v>0</v>
          </cell>
          <cell r="U105">
            <v>6.8894526420260105</v>
          </cell>
          <cell r="V105">
            <v>3.0412113386222961</v>
          </cell>
          <cell r="W105" t="str">
            <v>ความเสี่ยงต่ำ</v>
          </cell>
        </row>
        <row r="106">
          <cell r="A106">
            <v>470057</v>
          </cell>
          <cell r="B106" t="str">
            <v>นาย</v>
          </cell>
          <cell r="C106" t="str">
            <v>อนุวัฒน์</v>
          </cell>
          <cell r="D106" t="str">
            <v>ทองเสริม</v>
          </cell>
          <cell r="E106" t="str">
            <v>คผ.D ปผ.</v>
          </cell>
          <cell r="F106" t="str">
            <v>Operation</v>
          </cell>
          <cell r="G106">
            <v>44.079397672826815</v>
          </cell>
          <cell r="H106" t="str">
            <v>Male</v>
          </cell>
          <cell r="I106" t="str">
            <v>ไม่สูบ</v>
          </cell>
          <cell r="J106">
            <v>138</v>
          </cell>
          <cell r="K106">
            <v>178</v>
          </cell>
          <cell r="L106">
            <v>104.2</v>
          </cell>
          <cell r="M106">
            <v>32.887261709380127</v>
          </cell>
          <cell r="N106">
            <v>114</v>
          </cell>
          <cell r="O106" t="str">
            <v>ไม่มี</v>
          </cell>
          <cell r="P106">
            <v>139</v>
          </cell>
          <cell r="Q106">
            <v>200</v>
          </cell>
          <cell r="R106">
            <v>1</v>
          </cell>
          <cell r="S106">
            <v>0</v>
          </cell>
          <cell r="T106">
            <v>0</v>
          </cell>
          <cell r="U106">
            <v>7.3019271115674185</v>
          </cell>
          <cell r="V106">
            <v>4.5580611366905721</v>
          </cell>
          <cell r="W106" t="str">
            <v>ความเสี่ยงต่ำ</v>
          </cell>
        </row>
        <row r="107">
          <cell r="A107">
            <v>540020</v>
          </cell>
          <cell r="B107" t="str">
            <v>นาย</v>
          </cell>
          <cell r="C107" t="str">
            <v>จตุรงค์</v>
          </cell>
          <cell r="D107" t="str">
            <v>ทองยิ่ง</v>
          </cell>
          <cell r="E107" t="str">
            <v>คผ.A ปผ.</v>
          </cell>
          <cell r="F107" t="str">
            <v>Operation</v>
          </cell>
          <cell r="G107">
            <v>35.704312114989719</v>
          </cell>
          <cell r="H107" t="str">
            <v>Male</v>
          </cell>
          <cell r="I107" t="str">
            <v>ไม่ระบุ</v>
          </cell>
          <cell r="J107">
            <v>128</v>
          </cell>
          <cell r="K107">
            <v>169</v>
          </cell>
          <cell r="L107">
            <v>88.5</v>
          </cell>
          <cell r="M107">
            <v>30.98631000315115</v>
          </cell>
          <cell r="N107">
            <v>92</v>
          </cell>
          <cell r="O107" t="str">
            <v>ไม่มี</v>
          </cell>
          <cell r="P107">
            <v>86</v>
          </cell>
          <cell r="Q107">
            <v>237</v>
          </cell>
          <cell r="R107">
            <v>1</v>
          </cell>
          <cell r="S107">
            <v>1</v>
          </cell>
          <cell r="T107">
            <v>0</v>
          </cell>
          <cell r="U107">
            <v>6.9057938603696085</v>
          </cell>
          <cell r="V107">
            <v>3.0905344154452563</v>
          </cell>
          <cell r="W107" t="str">
            <v>ความเสี่ยงต่ำ</v>
          </cell>
        </row>
        <row r="108">
          <cell r="A108">
            <v>580260</v>
          </cell>
          <cell r="B108" t="str">
            <v>นาย</v>
          </cell>
          <cell r="C108" t="str">
            <v>คุณกร</v>
          </cell>
          <cell r="D108" t="str">
            <v>กากแก้ว</v>
          </cell>
          <cell r="E108" t="str">
            <v>ผ.ปก.B ปก.</v>
          </cell>
          <cell r="F108" t="str">
            <v>Operation</v>
          </cell>
          <cell r="G108">
            <v>30.6365503080082</v>
          </cell>
          <cell r="H108" t="str">
            <v>Male</v>
          </cell>
          <cell r="I108" t="str">
            <v>สูบ 2 มวนต่อวัน</v>
          </cell>
          <cell r="J108">
            <v>134</v>
          </cell>
          <cell r="K108">
            <v>177</v>
          </cell>
          <cell r="L108">
            <v>100.7</v>
          </cell>
          <cell r="M108">
            <v>32.142743145328609</v>
          </cell>
          <cell r="N108">
            <v>106</v>
          </cell>
          <cell r="O108" t="str">
            <v>ไม่มี</v>
          </cell>
          <cell r="P108">
            <v>82</v>
          </cell>
          <cell r="Q108">
            <v>203</v>
          </cell>
          <cell r="R108">
            <v>1</v>
          </cell>
          <cell r="S108">
            <v>1</v>
          </cell>
          <cell r="T108">
            <v>0</v>
          </cell>
          <cell r="U108">
            <v>6.5440589117043109</v>
          </cell>
          <cell r="V108">
            <v>2.1626889623077128</v>
          </cell>
          <cell r="W108" t="str">
            <v>ความเสี่ยงต่ำ</v>
          </cell>
        </row>
        <row r="109">
          <cell r="A109">
            <v>360080</v>
          </cell>
          <cell r="B109" t="str">
            <v>นาย</v>
          </cell>
          <cell r="C109" t="str">
            <v>อนุโรจน์</v>
          </cell>
          <cell r="D109" t="str">
            <v>วัฒนยืนยง</v>
          </cell>
          <cell r="E109" t="str">
            <v>ปผ.ยรก.</v>
          </cell>
          <cell r="F109" t="str">
            <v>Operation</v>
          </cell>
          <cell r="G109">
            <v>55.581108829568777</v>
          </cell>
          <cell r="H109" t="str">
            <v>Male</v>
          </cell>
          <cell r="I109" t="str">
            <v>ไม่สูบ</v>
          </cell>
          <cell r="J109">
            <v>126</v>
          </cell>
          <cell r="K109">
            <v>164</v>
          </cell>
          <cell r="L109">
            <v>64.599999999999994</v>
          </cell>
          <cell r="M109">
            <v>24.018441403926236</v>
          </cell>
          <cell r="N109">
            <v>85</v>
          </cell>
          <cell r="O109" t="str">
            <v>ไขมันในเลือดสูง</v>
          </cell>
          <cell r="P109">
            <v>114</v>
          </cell>
          <cell r="Q109">
            <v>230</v>
          </cell>
          <cell r="R109">
            <v>1</v>
          </cell>
          <cell r="S109">
            <v>0</v>
          </cell>
          <cell r="T109">
            <v>0</v>
          </cell>
          <cell r="U109">
            <v>8.0566321355236123</v>
          </cell>
          <cell r="V109">
            <v>9.4464010720034413</v>
          </cell>
          <cell r="W109" t="str">
            <v>ความเสี่ยงต่ำ</v>
          </cell>
        </row>
        <row r="110">
          <cell r="A110">
            <v>650042</v>
          </cell>
          <cell r="B110" t="str">
            <v>นางสาว</v>
          </cell>
          <cell r="C110" t="str">
            <v>สมลักษณ์</v>
          </cell>
          <cell r="D110" t="str">
            <v>เสนาะคำ</v>
          </cell>
          <cell r="E110" t="str">
            <v>คพ.ทผก.</v>
          </cell>
          <cell r="F110" t="str">
            <v>Support</v>
          </cell>
          <cell r="G110">
            <v>29.122518822724157</v>
          </cell>
          <cell r="H110" t="str">
            <v>Female</v>
          </cell>
          <cell r="I110" t="str">
            <v>ไม่สูบ</v>
          </cell>
          <cell r="J110">
            <v>117</v>
          </cell>
          <cell r="K110">
            <v>157</v>
          </cell>
          <cell r="L110">
            <v>53.2</v>
          </cell>
          <cell r="M110">
            <v>21.583025680554993</v>
          </cell>
          <cell r="N110">
            <v>69</v>
          </cell>
          <cell r="O110" t="str">
            <v>โรคภูมิแพ้</v>
          </cell>
          <cell r="P110">
            <v>84</v>
          </cell>
          <cell r="Q110">
            <v>177</v>
          </cell>
          <cell r="R110">
            <v>0</v>
          </cell>
          <cell r="S110">
            <v>0</v>
          </cell>
          <cell r="T110">
            <v>0</v>
          </cell>
          <cell r="U110">
            <v>5.1966157152635173</v>
          </cell>
          <cell r="V110">
            <v>0.56664706139774035</v>
          </cell>
          <cell r="W110" t="str">
            <v>ความเสี่ยงต่ำ</v>
          </cell>
        </row>
        <row r="111">
          <cell r="A111">
            <v>480179</v>
          </cell>
          <cell r="B111" t="str">
            <v>นาย</v>
          </cell>
          <cell r="C111" t="str">
            <v>นรงฤทธิ์</v>
          </cell>
          <cell r="D111" t="str">
            <v>กองเขต</v>
          </cell>
          <cell r="E111" t="str">
            <v>บง.วบก.</v>
          </cell>
          <cell r="F111" t="str">
            <v>Maintenance</v>
          </cell>
          <cell r="G111">
            <v>43.980835044490057</v>
          </cell>
          <cell r="H111" t="str">
            <v>Male</v>
          </cell>
          <cell r="I111" t="str">
            <v>ไม่สูบ</v>
          </cell>
          <cell r="J111">
            <v>134</v>
          </cell>
          <cell r="K111">
            <v>173.5</v>
          </cell>
          <cell r="L111">
            <v>62.3</v>
          </cell>
          <cell r="M111">
            <v>20.696127365894572</v>
          </cell>
          <cell r="N111">
            <v>77</v>
          </cell>
          <cell r="O111" t="str">
            <v>ไม่มี</v>
          </cell>
          <cell r="P111">
            <v>98</v>
          </cell>
          <cell r="Q111">
            <v>191</v>
          </cell>
          <cell r="R111">
            <v>1</v>
          </cell>
          <cell r="S111">
            <v>0</v>
          </cell>
          <cell r="T111">
            <v>0</v>
          </cell>
          <cell r="U111">
            <v>7.191421731690621</v>
          </cell>
          <cell r="V111">
            <v>4.0911017826371516</v>
          </cell>
          <cell r="W111" t="str">
            <v>ความเสี่ยงต่ำ</v>
          </cell>
        </row>
        <row r="112">
          <cell r="A112">
            <v>490090</v>
          </cell>
          <cell r="B112" t="str">
            <v>นางสาว</v>
          </cell>
          <cell r="C112" t="str">
            <v>นลินี</v>
          </cell>
          <cell r="D112" t="str">
            <v>ตัณฑิกุล</v>
          </cell>
          <cell r="E112" t="str">
            <v>คพ.ทผก.</v>
          </cell>
          <cell r="F112" t="str">
            <v>Support</v>
          </cell>
          <cell r="G112">
            <v>45.103353867214224</v>
          </cell>
          <cell r="H112" t="str">
            <v>Female</v>
          </cell>
          <cell r="I112" t="str">
            <v>ไม่สูบ</v>
          </cell>
          <cell r="J112">
            <v>106</v>
          </cell>
          <cell r="K112">
            <v>173.5</v>
          </cell>
          <cell r="L112">
            <v>65.5</v>
          </cell>
          <cell r="M112">
            <v>21.759170826101037</v>
          </cell>
          <cell r="N112">
            <v>75</v>
          </cell>
          <cell r="O112" t="str">
            <v>ไม่มี</v>
          </cell>
          <cell r="P112">
            <v>93</v>
          </cell>
          <cell r="Q112">
            <v>252</v>
          </cell>
          <cell r="R112">
            <v>0</v>
          </cell>
          <cell r="S112">
            <v>0</v>
          </cell>
          <cell r="T112">
            <v>0</v>
          </cell>
          <cell r="U112">
            <v>6.4340874469541394</v>
          </cell>
          <cell r="V112">
            <v>1.9396652587529539</v>
          </cell>
          <cell r="W112" t="str">
            <v>ความเสี่ยงต่ำ</v>
          </cell>
        </row>
        <row r="113">
          <cell r="A113">
            <v>490022</v>
          </cell>
          <cell r="B113" t="str">
            <v>นาย</v>
          </cell>
          <cell r="C113" t="str">
            <v>อุทัย</v>
          </cell>
          <cell r="D113" t="str">
            <v>บุญจง</v>
          </cell>
          <cell r="E113" t="str">
            <v>บฟ.วบก.</v>
          </cell>
          <cell r="F113" t="str">
            <v>Maintenance</v>
          </cell>
          <cell r="G113">
            <v>46.680355920602317</v>
          </cell>
          <cell r="H113" t="str">
            <v>Male</v>
          </cell>
          <cell r="I113" t="str">
            <v>ไม่สูบ</v>
          </cell>
          <cell r="J113">
            <v>124</v>
          </cell>
          <cell r="K113">
            <v>161</v>
          </cell>
          <cell r="L113">
            <v>67.7</v>
          </cell>
          <cell r="M113">
            <v>26.117819528567569</v>
          </cell>
          <cell r="N113">
            <v>84</v>
          </cell>
          <cell r="O113" t="str">
            <v>ไม่มี</v>
          </cell>
          <cell r="P113">
            <v>83</v>
          </cell>
          <cell r="Q113">
            <v>193</v>
          </cell>
          <cell r="R113">
            <v>1</v>
          </cell>
          <cell r="S113">
            <v>0</v>
          </cell>
          <cell r="T113">
            <v>0</v>
          </cell>
          <cell r="U113">
            <v>7.2081635249828881</v>
          </cell>
          <cell r="V113">
            <v>4.1587143639636892</v>
          </cell>
          <cell r="W113" t="str">
            <v>ความเสี่ยงต่ำ</v>
          </cell>
        </row>
        <row r="114">
          <cell r="A114">
            <v>490148</v>
          </cell>
          <cell r="B114" t="str">
            <v>นางสาว</v>
          </cell>
          <cell r="C114" t="str">
            <v>ศิริกมล</v>
          </cell>
          <cell r="D114" t="str">
            <v>บัวเผื่อน</v>
          </cell>
          <cell r="E114" t="str">
            <v>คพ.ทผก.</v>
          </cell>
          <cell r="F114" t="str">
            <v>Support</v>
          </cell>
          <cell r="G114">
            <v>40.799452429842567</v>
          </cell>
          <cell r="H114" t="str">
            <v>Female</v>
          </cell>
          <cell r="I114" t="str">
            <v>ไม่สูบ</v>
          </cell>
          <cell r="J114">
            <v>109</v>
          </cell>
          <cell r="K114">
            <v>155.5</v>
          </cell>
          <cell r="L114">
            <v>61.1</v>
          </cell>
          <cell r="M114">
            <v>25.268555949586954</v>
          </cell>
          <cell r="N114">
            <v>88</v>
          </cell>
          <cell r="O114" t="str">
            <v>ไม่มี</v>
          </cell>
          <cell r="P114">
            <v>94</v>
          </cell>
          <cell r="Q114">
            <v>237</v>
          </cell>
          <cell r="R114">
            <v>0</v>
          </cell>
          <cell r="S114">
            <v>0</v>
          </cell>
          <cell r="T114">
            <v>0</v>
          </cell>
          <cell r="U114">
            <v>6.1126191923340176</v>
          </cell>
          <cell r="V114">
            <v>1.4102006524775224</v>
          </cell>
          <cell r="W114" t="str">
            <v>ความเสี่ยงต่ำ</v>
          </cell>
        </row>
        <row r="115">
          <cell r="A115">
            <v>480224</v>
          </cell>
          <cell r="B115" t="str">
            <v>นาย</v>
          </cell>
          <cell r="C115" t="str">
            <v>นพดล</v>
          </cell>
          <cell r="D115" t="str">
            <v>คชรินทร์</v>
          </cell>
          <cell r="E115" t="str">
            <v>บค.วบก.</v>
          </cell>
          <cell r="F115" t="str">
            <v>Maintenance</v>
          </cell>
          <cell r="G115">
            <v>46.143737166324428</v>
          </cell>
          <cell r="H115" t="str">
            <v>Male</v>
          </cell>
          <cell r="I115" t="str">
            <v>ไม่สูบ</v>
          </cell>
          <cell r="J115">
            <v>138</v>
          </cell>
          <cell r="K115">
            <v>173</v>
          </cell>
          <cell r="L115">
            <v>79.099999999999994</v>
          </cell>
          <cell r="M115">
            <v>26.429215810752112</v>
          </cell>
          <cell r="N115">
            <v>91</v>
          </cell>
          <cell r="O115" t="str">
            <v>โรคความดันโลหิตสูง</v>
          </cell>
          <cell r="P115">
            <v>99</v>
          </cell>
          <cell r="Q115">
            <v>227</v>
          </cell>
          <cell r="R115">
            <v>1</v>
          </cell>
          <cell r="S115">
            <v>0</v>
          </cell>
          <cell r="T115">
            <v>0</v>
          </cell>
          <cell r="U115">
            <v>7.5280920123203288</v>
          </cell>
          <cell r="V115">
            <v>5.6813811912784224</v>
          </cell>
          <cell r="W115" t="str">
            <v>ความเสี่ยงต่ำ</v>
          </cell>
        </row>
        <row r="116">
          <cell r="A116">
            <v>550027</v>
          </cell>
          <cell r="B116" t="str">
            <v>นาย</v>
          </cell>
          <cell r="C116" t="str">
            <v>ธนาวิน</v>
          </cell>
          <cell r="D116" t="str">
            <v>รื่นเริง</v>
          </cell>
          <cell r="E116" t="str">
            <v>ผ.ปก.B คธ.</v>
          </cell>
          <cell r="F116" t="str">
            <v>Operation</v>
          </cell>
          <cell r="G116">
            <v>34.850102669404514</v>
          </cell>
          <cell r="H116" t="str">
            <v>Male</v>
          </cell>
          <cell r="I116" t="str">
            <v>ไม่สูบ</v>
          </cell>
          <cell r="J116">
            <v>128</v>
          </cell>
          <cell r="K116">
            <v>177</v>
          </cell>
          <cell r="L116">
            <v>70.900000000000006</v>
          </cell>
          <cell r="M116">
            <v>22.630789364486578</v>
          </cell>
          <cell r="N116">
            <v>73</v>
          </cell>
          <cell r="O116" t="str">
            <v>โรคภูมิแพ้</v>
          </cell>
          <cell r="P116">
            <v>76</v>
          </cell>
          <cell r="Q116">
            <v>218</v>
          </cell>
          <cell r="R116">
            <v>1</v>
          </cell>
          <cell r="S116">
            <v>0</v>
          </cell>
          <cell r="T116">
            <v>0</v>
          </cell>
          <cell r="U116">
            <v>6.3764539014373716</v>
          </cell>
          <cell r="V116">
            <v>1.8320372679853869</v>
          </cell>
          <cell r="W116" t="str">
            <v>ความเสี่ยงต่ำ</v>
          </cell>
        </row>
        <row r="117">
          <cell r="A117">
            <v>580056</v>
          </cell>
          <cell r="B117" t="str">
            <v>นาย</v>
          </cell>
          <cell r="C117" t="str">
            <v>บุรินทร์</v>
          </cell>
          <cell r="D117" t="str">
            <v>ไชยเศรษฐ์</v>
          </cell>
          <cell r="E117" t="str">
            <v>คผ.A ปผ.</v>
          </cell>
          <cell r="F117" t="str">
            <v>Operation</v>
          </cell>
          <cell r="G117">
            <v>36.876112251882255</v>
          </cell>
          <cell r="H117" t="str">
            <v>Male</v>
          </cell>
          <cell r="I117" t="str">
            <v>ไม่สูบ</v>
          </cell>
          <cell r="J117">
            <v>121</v>
          </cell>
          <cell r="K117">
            <v>178.5</v>
          </cell>
          <cell r="L117">
            <v>72.3</v>
          </cell>
          <cell r="M117">
            <v>22.691429512981664</v>
          </cell>
          <cell r="N117">
            <v>85</v>
          </cell>
          <cell r="O117" t="str">
            <v>ไม่มี</v>
          </cell>
          <cell r="P117">
            <v>82</v>
          </cell>
          <cell r="Q117">
            <v>229</v>
          </cell>
          <cell r="R117">
            <v>1</v>
          </cell>
          <cell r="S117">
            <v>0</v>
          </cell>
          <cell r="T117">
            <v>0</v>
          </cell>
          <cell r="U117">
            <v>6.4196822655715247</v>
          </cell>
          <cell r="V117">
            <v>1.9121912644987749</v>
          </cell>
          <cell r="W117" t="str">
            <v>ความเสี่ยงต่ำ</v>
          </cell>
        </row>
        <row r="118">
          <cell r="A118">
            <v>350077</v>
          </cell>
          <cell r="B118" t="str">
            <v>นาย</v>
          </cell>
          <cell r="C118" t="str">
            <v>เทิด</v>
          </cell>
          <cell r="D118" t="str">
            <v>ลำภา</v>
          </cell>
          <cell r="E118" t="str">
            <v>คผ.C ปล.</v>
          </cell>
          <cell r="F118" t="str">
            <v>Operation</v>
          </cell>
          <cell r="G118">
            <v>57.850787132101303</v>
          </cell>
          <cell r="H118" t="str">
            <v>Male</v>
          </cell>
          <cell r="I118" t="str">
            <v>ไม่สูบ</v>
          </cell>
          <cell r="J118">
            <v>125</v>
          </cell>
          <cell r="K118">
            <v>168</v>
          </cell>
          <cell r="L118">
            <v>76.099999999999994</v>
          </cell>
          <cell r="M118">
            <v>26.962868480725621</v>
          </cell>
          <cell r="N118">
            <v>93</v>
          </cell>
          <cell r="O118" t="str">
            <v>โรคความดันโลหิตสูง , ไทรอยด์เป็นพิษ</v>
          </cell>
          <cell r="P118">
            <v>105</v>
          </cell>
          <cell r="Q118">
            <v>161</v>
          </cell>
          <cell r="R118">
            <v>1</v>
          </cell>
          <cell r="S118">
            <v>0</v>
          </cell>
          <cell r="T118">
            <v>0</v>
          </cell>
          <cell r="U118">
            <v>8.0752399110198496</v>
          </cell>
          <cell r="V118">
            <v>9.615008923544643</v>
          </cell>
          <cell r="W118" t="str">
            <v>ความเสี่ยงต่ำ</v>
          </cell>
        </row>
        <row r="119">
          <cell r="A119">
            <v>480227</v>
          </cell>
          <cell r="B119" t="str">
            <v>นาย</v>
          </cell>
          <cell r="C119" t="str">
            <v>พีรศักดิ์</v>
          </cell>
          <cell r="D119" t="str">
            <v>ชื่นศิริกุล</v>
          </cell>
          <cell r="E119" t="str">
            <v>ผ.ปก.A ปอ.</v>
          </cell>
          <cell r="F119" t="str">
            <v>Operation</v>
          </cell>
          <cell r="G119">
            <v>42.318959616700887</v>
          </cell>
          <cell r="H119" t="str">
            <v>Male</v>
          </cell>
          <cell r="I119" t="str">
            <v>ไม่สูบ</v>
          </cell>
          <cell r="J119">
            <v>118</v>
          </cell>
          <cell r="K119">
            <v>173</v>
          </cell>
          <cell r="L119">
            <v>81</v>
          </cell>
          <cell r="M119">
            <v>27.064051588760066</v>
          </cell>
          <cell r="N119">
            <v>97</v>
          </cell>
          <cell r="O119" t="str">
            <v>ไม่มี</v>
          </cell>
          <cell r="P119">
            <v>89</v>
          </cell>
          <cell r="Q119">
            <v>213</v>
          </cell>
          <cell r="R119">
            <v>1</v>
          </cell>
          <cell r="S119">
            <v>0</v>
          </cell>
          <cell r="T119">
            <v>0</v>
          </cell>
          <cell r="U119">
            <v>6.7686304654346339</v>
          </cell>
          <cell r="V119">
            <v>2.6998133314814154</v>
          </cell>
          <cell r="W119" t="str">
            <v>ความเสี่ยงต่ำ</v>
          </cell>
        </row>
        <row r="120">
          <cell r="A120">
            <v>660101</v>
          </cell>
          <cell r="B120" t="str">
            <v>นาย</v>
          </cell>
          <cell r="C120" t="str">
            <v>พสิษฐ์</v>
          </cell>
          <cell r="D120" t="str">
            <v>อินทนาศักดิ์</v>
          </cell>
          <cell r="E120" t="str">
            <v>คผ.A ปผ.</v>
          </cell>
          <cell r="F120" t="str">
            <v>Operation</v>
          </cell>
          <cell r="G120">
            <v>22.403832991101975</v>
          </cell>
          <cell r="H120" t="str">
            <v>Male</v>
          </cell>
          <cell r="I120" t="str">
            <v>ไม่สูบ</v>
          </cell>
          <cell r="J120">
            <v>126</v>
          </cell>
          <cell r="K120">
            <v>176.5</v>
          </cell>
          <cell r="L120">
            <v>85.8</v>
          </cell>
          <cell r="M120">
            <v>27.542151850989896</v>
          </cell>
          <cell r="N120">
            <v>96</v>
          </cell>
          <cell r="O120" t="str">
            <v>ไม่มี</v>
          </cell>
          <cell r="P120">
            <v>82</v>
          </cell>
          <cell r="Q120">
            <v>188</v>
          </cell>
          <cell r="R120">
            <v>1</v>
          </cell>
          <cell r="S120">
            <v>0</v>
          </cell>
          <cell r="T120">
            <v>0</v>
          </cell>
          <cell r="U120">
            <v>5.2526956536618741</v>
          </cell>
          <cell r="V120">
            <v>0.59923440526816751</v>
          </cell>
          <cell r="W120" t="str">
            <v>ความเสี่ยงต่ำ</v>
          </cell>
        </row>
        <row r="121">
          <cell r="A121">
            <v>580078</v>
          </cell>
          <cell r="B121" t="str">
            <v>นาย</v>
          </cell>
          <cell r="C121" t="str">
            <v>อนันทชา</v>
          </cell>
          <cell r="D121" t="str">
            <v>ชาญฉลาด</v>
          </cell>
          <cell r="E121" t="str">
            <v>บง.วบก.</v>
          </cell>
          <cell r="F121" t="str">
            <v>Maintenance</v>
          </cell>
          <cell r="G121">
            <v>33.763175906913055</v>
          </cell>
          <cell r="H121" t="str">
            <v>Male</v>
          </cell>
          <cell r="I121" t="str">
            <v>ไม่ระบุ</v>
          </cell>
          <cell r="J121">
            <v>134</v>
          </cell>
          <cell r="K121">
            <v>176</v>
          </cell>
          <cell r="L121">
            <v>116.2</v>
          </cell>
          <cell r="M121">
            <v>37.512913223140494</v>
          </cell>
          <cell r="N121">
            <v>119</v>
          </cell>
          <cell r="O121" t="str">
            <v>ไม่มี</v>
          </cell>
          <cell r="P121">
            <v>140</v>
          </cell>
          <cell r="Q121">
            <v>169</v>
          </cell>
          <cell r="R121">
            <v>1</v>
          </cell>
          <cell r="S121">
            <v>1</v>
          </cell>
          <cell r="T121">
            <v>0</v>
          </cell>
          <cell r="U121">
            <v>6.7278306844626945</v>
          </cell>
          <cell r="V121">
            <v>2.5932904184223782</v>
          </cell>
          <cell r="W121" t="str">
            <v>ความเสี่ยงต่ำ</v>
          </cell>
        </row>
        <row r="122">
          <cell r="A122">
            <v>450077</v>
          </cell>
          <cell r="B122" t="str">
            <v>นาย</v>
          </cell>
          <cell r="C122" t="str">
            <v>ปาณเศรษฐ์</v>
          </cell>
          <cell r="D122" t="str">
            <v>โสภา</v>
          </cell>
          <cell r="E122" t="str">
            <v>บฟ.วบก.</v>
          </cell>
          <cell r="F122" t="str">
            <v>Maintenance</v>
          </cell>
          <cell r="G122">
            <v>45.634496919917858</v>
          </cell>
          <cell r="H122" t="str">
            <v>Male</v>
          </cell>
          <cell r="I122" t="str">
            <v>ไม่สูบ</v>
          </cell>
          <cell r="J122">
            <v>134</v>
          </cell>
          <cell r="K122">
            <v>173.5</v>
          </cell>
          <cell r="L122">
            <v>105.6</v>
          </cell>
          <cell r="M122">
            <v>35.080434186813278</v>
          </cell>
          <cell r="N122">
            <v>104</v>
          </cell>
          <cell r="O122" t="str">
            <v>โรคภูมิแพ้ , พาหะไวรัสตับอักเสบบี</v>
          </cell>
          <cell r="P122">
            <v>83</v>
          </cell>
          <cell r="Q122">
            <v>211</v>
          </cell>
          <cell r="R122">
            <v>1</v>
          </cell>
          <cell r="S122">
            <v>0</v>
          </cell>
          <cell r="T122">
            <v>0</v>
          </cell>
          <cell r="U122">
            <v>7.369140882956879</v>
          </cell>
          <cell r="V122">
            <v>4.8671202625855443</v>
          </cell>
          <cell r="W122" t="str">
            <v>ความเสี่ยงต่ำ</v>
          </cell>
        </row>
        <row r="123">
          <cell r="A123">
            <v>550139</v>
          </cell>
          <cell r="B123" t="str">
            <v>นาย</v>
          </cell>
          <cell r="C123" t="str">
            <v>เอนก</v>
          </cell>
          <cell r="D123" t="str">
            <v>พวยอ้วน</v>
          </cell>
          <cell r="E123" t="str">
            <v>คผ.D ปผ.</v>
          </cell>
          <cell r="F123" t="str">
            <v>Operation</v>
          </cell>
          <cell r="G123">
            <v>38.839151266255975</v>
          </cell>
          <cell r="H123" t="str">
            <v>Male</v>
          </cell>
          <cell r="I123" t="str">
            <v>สูบ 6 มวนต่อวัน</v>
          </cell>
          <cell r="J123">
            <v>137</v>
          </cell>
          <cell r="K123">
            <v>174.5</v>
          </cell>
          <cell r="L123">
            <v>92.3</v>
          </cell>
          <cell r="M123">
            <v>30.311737998867006</v>
          </cell>
          <cell r="N123">
            <v>107</v>
          </cell>
          <cell r="O123" t="str">
            <v>โรคภูมิแพ้</v>
          </cell>
          <cell r="P123">
            <v>106</v>
          </cell>
          <cell r="Q123">
            <v>318</v>
          </cell>
          <cell r="R123">
            <v>1</v>
          </cell>
          <cell r="S123">
            <v>1</v>
          </cell>
          <cell r="T123">
            <v>0</v>
          </cell>
          <cell r="U123">
            <v>7.5215977481177259</v>
          </cell>
          <cell r="V123">
            <v>5.6456626707030555</v>
          </cell>
          <cell r="W123" t="str">
            <v>ความเสี่ยงต่ำ</v>
          </cell>
        </row>
        <row r="124">
          <cell r="A124">
            <v>490071</v>
          </cell>
          <cell r="B124" t="str">
            <v>นาย</v>
          </cell>
          <cell r="C124" t="str">
            <v>ธีระวิทย์</v>
          </cell>
          <cell r="D124" t="str">
            <v>โควงค์</v>
          </cell>
          <cell r="E124" t="str">
            <v>คผ.B ปล.</v>
          </cell>
          <cell r="F124" t="str">
            <v>Operation</v>
          </cell>
          <cell r="G124">
            <v>44.199863107460629</v>
          </cell>
          <cell r="H124" t="str">
            <v>Male</v>
          </cell>
          <cell r="I124" t="str">
            <v>ไม่ระบุ</v>
          </cell>
          <cell r="J124">
            <v>106</v>
          </cell>
          <cell r="K124">
            <v>171</v>
          </cell>
          <cell r="L124">
            <v>73.599999999999994</v>
          </cell>
          <cell r="M124">
            <v>25.170137820183989</v>
          </cell>
          <cell r="N124">
            <v>94</v>
          </cell>
          <cell r="O124" t="str">
            <v>ไม่มี</v>
          </cell>
          <cell r="P124">
            <v>92</v>
          </cell>
          <cell r="Q124">
            <v>216</v>
          </cell>
          <cell r="R124">
            <v>1</v>
          </cell>
          <cell r="S124">
            <v>1</v>
          </cell>
          <cell r="T124">
            <v>0</v>
          </cell>
          <cell r="U124">
            <v>7.0979847980835027</v>
          </cell>
          <cell r="V124">
            <v>3.7330593297688508</v>
          </cell>
          <cell r="W124" t="str">
            <v>ความเสี่ยงต่ำ</v>
          </cell>
        </row>
        <row r="125">
          <cell r="A125">
            <v>550188</v>
          </cell>
          <cell r="B125" t="str">
            <v>นาย</v>
          </cell>
          <cell r="C125" t="str">
            <v>เกรียงไกร</v>
          </cell>
          <cell r="D125" t="str">
            <v>เสงี่ยมจิตต์</v>
          </cell>
          <cell r="E125" t="str">
            <v>อท.บรก.</v>
          </cell>
          <cell r="F125" t="str">
            <v>Support</v>
          </cell>
          <cell r="G125">
            <v>34.061601642710457</v>
          </cell>
          <cell r="H125" t="str">
            <v>Male</v>
          </cell>
          <cell r="I125" t="str">
            <v>ไม่ระบุ</v>
          </cell>
          <cell r="J125">
            <v>125</v>
          </cell>
          <cell r="K125">
            <v>177</v>
          </cell>
          <cell r="L125">
            <v>71</v>
          </cell>
          <cell r="M125">
            <v>22.662708672475979</v>
          </cell>
          <cell r="N125">
            <v>85</v>
          </cell>
          <cell r="O125" t="str">
            <v>ไม่มี</v>
          </cell>
          <cell r="P125">
            <v>94</v>
          </cell>
          <cell r="Q125">
            <v>171</v>
          </cell>
          <cell r="R125">
            <v>1</v>
          </cell>
          <cell r="S125">
            <v>1</v>
          </cell>
          <cell r="T125">
            <v>0</v>
          </cell>
          <cell r="U125">
            <v>6.568930862422997</v>
          </cell>
          <cell r="V125">
            <v>2.2165456977041975</v>
          </cell>
          <cell r="W125" t="str">
            <v>ความเสี่ยงต่ำ</v>
          </cell>
        </row>
        <row r="126">
          <cell r="A126">
            <v>640064</v>
          </cell>
          <cell r="B126" t="str">
            <v>นาย</v>
          </cell>
          <cell r="C126" t="str">
            <v>เตวิช</v>
          </cell>
          <cell r="D126" t="str">
            <v>ธงสว่างชัย</v>
          </cell>
          <cell r="E126" t="str">
            <v>กผ.ทผก.</v>
          </cell>
          <cell r="F126" t="str">
            <v>Support</v>
          </cell>
          <cell r="G126">
            <v>32.396988364134153</v>
          </cell>
          <cell r="H126" t="str">
            <v>Male</v>
          </cell>
          <cell r="I126" t="str">
            <v>ไม่สูบ</v>
          </cell>
          <cell r="J126">
            <v>137</v>
          </cell>
          <cell r="K126">
            <v>173.5</v>
          </cell>
          <cell r="L126">
            <v>71.5</v>
          </cell>
          <cell r="M126">
            <v>23.752377313988156</v>
          </cell>
          <cell r="N126">
            <v>85</v>
          </cell>
          <cell r="O126" t="str">
            <v>ไม่มี</v>
          </cell>
          <cell r="P126">
            <v>106</v>
          </cell>
          <cell r="Q126">
            <v>233</v>
          </cell>
          <cell r="R126">
            <v>1</v>
          </cell>
          <cell r="S126">
            <v>0</v>
          </cell>
          <cell r="T126">
            <v>0</v>
          </cell>
          <cell r="U126">
            <v>6.3950755578370977</v>
          </cell>
          <cell r="V126">
            <v>1.8661491566282384</v>
          </cell>
          <cell r="W126" t="str">
            <v>ความเสี่ยงต่ำ</v>
          </cell>
        </row>
        <row r="127">
          <cell r="A127">
            <v>650024</v>
          </cell>
          <cell r="B127" t="str">
            <v>นาย</v>
          </cell>
          <cell r="C127" t="str">
            <v>ภานุพัฒน์</v>
          </cell>
          <cell r="D127" t="str">
            <v>สุขศิริ</v>
          </cell>
          <cell r="E127" t="str">
            <v>ผ.บพ.พย.</v>
          </cell>
          <cell r="F127" t="str">
            <v>Support</v>
          </cell>
          <cell r="G127">
            <v>32.503764544832293</v>
          </cell>
          <cell r="H127" t="str">
            <v>Male</v>
          </cell>
          <cell r="I127" t="str">
            <v>สูบ 10 มวนต่อวัน</v>
          </cell>
          <cell r="J127">
            <v>132</v>
          </cell>
          <cell r="K127">
            <v>168</v>
          </cell>
          <cell r="L127">
            <v>97</v>
          </cell>
          <cell r="M127">
            <v>34.367913832199541</v>
          </cell>
          <cell r="N127">
            <v>114</v>
          </cell>
          <cell r="O127" t="str">
            <v>ไม่มี</v>
          </cell>
          <cell r="P127">
            <v>95</v>
          </cell>
          <cell r="Q127">
            <v>251</v>
          </cell>
          <cell r="R127">
            <v>1</v>
          </cell>
          <cell r="S127">
            <v>1</v>
          </cell>
          <cell r="T127">
            <v>0</v>
          </cell>
          <cell r="U127">
            <v>6.7569330527036255</v>
          </cell>
          <cell r="V127">
            <v>2.668839255120381</v>
          </cell>
          <cell r="W127" t="str">
            <v>ความเสี่ยงต่ำ</v>
          </cell>
        </row>
        <row r="128">
          <cell r="A128">
            <v>480023</v>
          </cell>
          <cell r="B128" t="str">
            <v>นาย</v>
          </cell>
          <cell r="C128" t="str">
            <v>วีระศักดิ์</v>
          </cell>
          <cell r="D128" t="str">
            <v>งามฉวี</v>
          </cell>
          <cell r="E128" t="str">
            <v>ผ.ปก.D คธ.</v>
          </cell>
          <cell r="F128" t="str">
            <v>Operation</v>
          </cell>
          <cell r="G128">
            <v>46.37097878165639</v>
          </cell>
          <cell r="H128" t="str">
            <v>Male</v>
          </cell>
          <cell r="I128" t="str">
            <v>ไม่สูบ</v>
          </cell>
          <cell r="J128">
            <v>134</v>
          </cell>
          <cell r="K128">
            <v>163.5</v>
          </cell>
          <cell r="L128">
            <v>73.599999999999994</v>
          </cell>
          <cell r="M128">
            <v>27.532287779741697</v>
          </cell>
          <cell r="N128">
            <v>86</v>
          </cell>
          <cell r="O128" t="str">
            <v>โรคความดันโลหิตสูง</v>
          </cell>
          <cell r="P128">
            <v>88</v>
          </cell>
          <cell r="Q128">
            <v>281</v>
          </cell>
          <cell r="R128">
            <v>1</v>
          </cell>
          <cell r="S128">
            <v>0</v>
          </cell>
          <cell r="T128">
            <v>0</v>
          </cell>
          <cell r="U128">
            <v>7.5778071937029425</v>
          </cell>
          <cell r="V128">
            <v>5.9621654512665216</v>
          </cell>
          <cell r="W128" t="str">
            <v>ความเสี่ยงต่ำ</v>
          </cell>
        </row>
        <row r="129">
          <cell r="A129">
            <v>530204</v>
          </cell>
          <cell r="B129" t="str">
            <v>นาย</v>
          </cell>
          <cell r="C129" t="str">
            <v>ปิยชาติ</v>
          </cell>
          <cell r="D129" t="str">
            <v>ขามช่วง</v>
          </cell>
          <cell r="E129" t="str">
            <v>อท.บรก.</v>
          </cell>
          <cell r="F129" t="str">
            <v>Support</v>
          </cell>
          <cell r="G129">
            <v>35.791923340177952</v>
          </cell>
          <cell r="H129" t="str">
            <v>Male</v>
          </cell>
          <cell r="I129" t="str">
            <v>ไม่สูบ</v>
          </cell>
          <cell r="J129">
            <v>115</v>
          </cell>
          <cell r="K129">
            <v>169</v>
          </cell>
          <cell r="L129">
            <v>66.599999999999994</v>
          </cell>
          <cell r="M129">
            <v>23.318511256608659</v>
          </cell>
          <cell r="N129">
            <v>80</v>
          </cell>
          <cell r="O129" t="str">
            <v>โรคกรดไหลย้อน</v>
          </cell>
          <cell r="P129">
            <v>84</v>
          </cell>
          <cell r="Q129">
            <v>216</v>
          </cell>
          <cell r="R129">
            <v>1</v>
          </cell>
          <cell r="S129">
            <v>0</v>
          </cell>
          <cell r="T129">
            <v>0</v>
          </cell>
          <cell r="U129">
            <v>6.1783630869267618</v>
          </cell>
          <cell r="V129">
            <v>1.5053034835238455</v>
          </cell>
          <cell r="W129" t="str">
            <v>ความเสี่ยงต่ำ</v>
          </cell>
        </row>
        <row r="130">
          <cell r="A130">
            <v>620026</v>
          </cell>
          <cell r="B130" t="str">
            <v>นางสาว</v>
          </cell>
          <cell r="C130" t="str">
            <v>พิจารินทร์</v>
          </cell>
          <cell r="D130" t="str">
            <v>หงษ์ทอง</v>
          </cell>
          <cell r="E130" t="str">
            <v>บร.บรก.</v>
          </cell>
          <cell r="F130" t="str">
            <v>Support</v>
          </cell>
          <cell r="G130">
            <v>34.910335386721407</v>
          </cell>
          <cell r="H130" t="str">
            <v>Female</v>
          </cell>
          <cell r="I130" t="str">
            <v>ไม่สูบ</v>
          </cell>
          <cell r="J130">
            <v>113</v>
          </cell>
          <cell r="K130">
            <v>166.5</v>
          </cell>
          <cell r="L130">
            <v>53.8</v>
          </cell>
          <cell r="M130">
            <v>19.406794181568955</v>
          </cell>
          <cell r="N130">
            <v>76</v>
          </cell>
          <cell r="O130" t="str">
            <v>ไม่มี</v>
          </cell>
          <cell r="P130">
            <v>75</v>
          </cell>
          <cell r="Q130">
            <v>191</v>
          </cell>
          <cell r="R130">
            <v>0</v>
          </cell>
          <cell r="S130">
            <v>0</v>
          </cell>
          <cell r="T130">
            <v>0</v>
          </cell>
          <cell r="U130">
            <v>5.6165527446954124</v>
          </cell>
          <cell r="V130">
            <v>0.86108452473583341</v>
          </cell>
          <cell r="W130" t="str">
            <v>ความเสี่ยงต่ำ</v>
          </cell>
        </row>
        <row r="131">
          <cell r="A131">
            <v>550202</v>
          </cell>
          <cell r="B131" t="str">
            <v>นาย</v>
          </cell>
          <cell r="C131" t="str">
            <v>วิศรุต</v>
          </cell>
          <cell r="D131" t="str">
            <v>ชูวาลา</v>
          </cell>
          <cell r="E131" t="str">
            <v>คผ.A ปล.</v>
          </cell>
          <cell r="F131" t="str">
            <v>Operation</v>
          </cell>
          <cell r="G131">
            <v>34.201232032854207</v>
          </cell>
          <cell r="H131" t="str">
            <v>Male</v>
          </cell>
          <cell r="I131" t="str">
            <v>สูบ 20 มวนต่อวัน</v>
          </cell>
          <cell r="J131">
            <v>136</v>
          </cell>
          <cell r="K131">
            <v>182.5</v>
          </cell>
          <cell r="L131">
            <v>116.8</v>
          </cell>
          <cell r="M131">
            <v>35.06849315068493</v>
          </cell>
          <cell r="N131">
            <v>112</v>
          </cell>
          <cell r="O131" t="str">
            <v>ไม่มี</v>
          </cell>
          <cell r="P131">
            <v>117</v>
          </cell>
          <cell r="Q131">
            <v>176</v>
          </cell>
          <cell r="R131">
            <v>1</v>
          </cell>
          <cell r="S131">
            <v>1</v>
          </cell>
          <cell r="T131">
            <v>0</v>
          </cell>
          <cell r="U131">
            <v>6.8201968172484602</v>
          </cell>
          <cell r="V131">
            <v>2.8406366472432998</v>
          </cell>
          <cell r="W131" t="str">
            <v>ความเสี่ยงต่ำ</v>
          </cell>
        </row>
        <row r="132">
          <cell r="A132">
            <v>490049</v>
          </cell>
          <cell r="B132" t="str">
            <v>นาย</v>
          </cell>
          <cell r="C132" t="str">
            <v>ไพรวัลย์</v>
          </cell>
          <cell r="D132" t="str">
            <v>เพ็งธรรม</v>
          </cell>
          <cell r="E132" t="str">
            <v>ผ.ปก.A ปอ.</v>
          </cell>
          <cell r="F132" t="str">
            <v>Operation</v>
          </cell>
          <cell r="G132">
            <v>40.925393566050644</v>
          </cell>
          <cell r="H132" t="str">
            <v>Male</v>
          </cell>
          <cell r="I132" t="str">
            <v>ไม่สูบ</v>
          </cell>
          <cell r="J132">
            <v>129</v>
          </cell>
          <cell r="K132">
            <v>166.5</v>
          </cell>
          <cell r="L132">
            <v>65.3</v>
          </cell>
          <cell r="M132">
            <v>23.55508661814968</v>
          </cell>
          <cell r="N132">
            <v>83</v>
          </cell>
          <cell r="O132" t="str">
            <v>ไม่มี</v>
          </cell>
          <cell r="P132">
            <v>82</v>
          </cell>
          <cell r="Q132">
            <v>183</v>
          </cell>
          <cell r="R132">
            <v>1</v>
          </cell>
          <cell r="S132">
            <v>0</v>
          </cell>
          <cell r="T132">
            <v>0</v>
          </cell>
          <cell r="U132">
            <v>6.8202349555099246</v>
          </cell>
          <cell r="V132">
            <v>2.8407434326542025</v>
          </cell>
          <cell r="W132" t="str">
            <v>ความเสี่ยงต่ำ</v>
          </cell>
        </row>
        <row r="133">
          <cell r="A133">
            <v>540365</v>
          </cell>
          <cell r="B133" t="str">
            <v>นาย</v>
          </cell>
          <cell r="C133" t="str">
            <v>พิชญ์</v>
          </cell>
          <cell r="D133" t="str">
            <v>ธิบูรณ์บุญ</v>
          </cell>
          <cell r="E133" t="str">
            <v>คพ.ทผก.</v>
          </cell>
          <cell r="F133" t="str">
            <v>Support</v>
          </cell>
          <cell r="G133">
            <v>36.824093086926744</v>
          </cell>
          <cell r="H133" t="str">
            <v>Male</v>
          </cell>
          <cell r="I133" t="str">
            <v>ไม่สูบ</v>
          </cell>
          <cell r="J133">
            <v>136</v>
          </cell>
          <cell r="K133">
            <v>168.5</v>
          </cell>
          <cell r="L133">
            <v>162.80000000000001</v>
          </cell>
          <cell r="M133">
            <v>57.33959090949115</v>
          </cell>
          <cell r="N133">
            <v>152</v>
          </cell>
          <cell r="O133" t="str">
            <v>ไม่มี</v>
          </cell>
          <cell r="P133">
            <v>111</v>
          </cell>
          <cell r="Q133">
            <v>143</v>
          </cell>
          <cell r="R133">
            <v>1</v>
          </cell>
          <cell r="S133">
            <v>0</v>
          </cell>
          <cell r="T133">
            <v>0</v>
          </cell>
          <cell r="U133">
            <v>6.545705537303216</v>
          </cell>
          <cell r="V133">
            <v>2.1662141505685684</v>
          </cell>
          <cell r="W133" t="str">
            <v>ความเสี่ยงต่ำ</v>
          </cell>
        </row>
        <row r="134">
          <cell r="A134">
            <v>580154</v>
          </cell>
          <cell r="B134" t="str">
            <v>นาย</v>
          </cell>
          <cell r="C134" t="str">
            <v>พงษ์ศักดิ์</v>
          </cell>
          <cell r="D134" t="str">
            <v>เรืองไชย</v>
          </cell>
          <cell r="E134" t="str">
            <v>คพ.ทผก.</v>
          </cell>
          <cell r="F134" t="str">
            <v>Support</v>
          </cell>
          <cell r="G134">
            <v>33.360711841204647</v>
          </cell>
          <cell r="H134" t="str">
            <v>Male</v>
          </cell>
          <cell r="I134" t="str">
            <v>ไม่สูบ</v>
          </cell>
          <cell r="J134">
            <v>135</v>
          </cell>
          <cell r="K134">
            <v>174</v>
          </cell>
          <cell r="L134">
            <v>84.2</v>
          </cell>
          <cell r="M134">
            <v>27.810807240058132</v>
          </cell>
          <cell r="N134">
            <v>89</v>
          </cell>
          <cell r="O134" t="str">
            <v>ไม่มี</v>
          </cell>
          <cell r="P134">
            <v>89</v>
          </cell>
          <cell r="Q134">
            <v>254</v>
          </cell>
          <cell r="R134">
            <v>1</v>
          </cell>
          <cell r="S134">
            <v>0</v>
          </cell>
          <cell r="T134">
            <v>0</v>
          </cell>
          <cell r="U134">
            <v>6.4767770499657757</v>
          </cell>
          <cell r="V134">
            <v>2.0234000732576418</v>
          </cell>
          <cell r="W134" t="str">
            <v>ความเสี่ยงต่ำ</v>
          </cell>
        </row>
        <row r="135">
          <cell r="A135">
            <v>480170</v>
          </cell>
          <cell r="B135" t="str">
            <v>นาย</v>
          </cell>
          <cell r="C135" t="str">
            <v>ณรงค์ศักดิ์</v>
          </cell>
          <cell r="D135" t="str">
            <v>เจียมจันทร์</v>
          </cell>
          <cell r="E135" t="str">
            <v>บฟ.วบก.</v>
          </cell>
          <cell r="F135" t="str">
            <v>Maintenance</v>
          </cell>
          <cell r="G135">
            <v>41.037645448323069</v>
          </cell>
          <cell r="H135" t="str">
            <v>Male</v>
          </cell>
          <cell r="I135" t="str">
            <v>ไม่สูบ</v>
          </cell>
          <cell r="J135">
            <v>103</v>
          </cell>
          <cell r="K135">
            <v>173.5</v>
          </cell>
          <cell r="L135">
            <v>76.400000000000006</v>
          </cell>
          <cell r="M135">
            <v>25.380162612429302</v>
          </cell>
          <cell r="N135">
            <v>88</v>
          </cell>
          <cell r="O135" t="str">
            <v>ไม่มี</v>
          </cell>
          <cell r="P135">
            <v>89</v>
          </cell>
          <cell r="Q135">
            <v>225</v>
          </cell>
          <cell r="R135">
            <v>1</v>
          </cell>
          <cell r="S135">
            <v>0</v>
          </cell>
          <cell r="T135">
            <v>0</v>
          </cell>
          <cell r="U135">
            <v>6.3766205270362768</v>
          </cell>
          <cell r="V135">
            <v>1.8323397435134225</v>
          </cell>
          <cell r="W135" t="str">
            <v>ความเสี่ยงต่ำ</v>
          </cell>
        </row>
        <row r="136">
          <cell r="A136">
            <v>650117</v>
          </cell>
          <cell r="B136" t="str">
            <v>นาย</v>
          </cell>
          <cell r="C136" t="str">
            <v>ธนธรณ์</v>
          </cell>
          <cell r="D136" t="str">
            <v>จันทร์เจริญ</v>
          </cell>
          <cell r="E136" t="str">
            <v>บผ.สยก.</v>
          </cell>
          <cell r="F136" t="str">
            <v>Operation</v>
          </cell>
          <cell r="G136">
            <v>28.030116358658443</v>
          </cell>
          <cell r="H136" t="str">
            <v>Male</v>
          </cell>
          <cell r="I136" t="str">
            <v>ไม่สูบ</v>
          </cell>
          <cell r="J136">
            <v>131</v>
          </cell>
          <cell r="K136">
            <v>177</v>
          </cell>
          <cell r="L136">
            <v>82.5</v>
          </cell>
          <cell r="M136">
            <v>26.333429091257301</v>
          </cell>
          <cell r="N136">
            <v>87</v>
          </cell>
          <cell r="O136" t="str">
            <v>ไม่มี</v>
          </cell>
          <cell r="P136">
            <v>99</v>
          </cell>
          <cell r="Q136">
            <v>177</v>
          </cell>
          <cell r="R136">
            <v>1</v>
          </cell>
          <cell r="S136">
            <v>0</v>
          </cell>
          <cell r="T136">
            <v>0</v>
          </cell>
          <cell r="U136">
            <v>5.7939744216290201</v>
          </cell>
          <cell r="V136">
            <v>1.027389320999561</v>
          </cell>
          <cell r="W136" t="str">
            <v>ความเสี่ยงต่ำ</v>
          </cell>
        </row>
        <row r="137">
          <cell r="A137">
            <v>600122</v>
          </cell>
          <cell r="B137" t="str">
            <v>นาย</v>
          </cell>
          <cell r="C137" t="str">
            <v>ภูมิพงศ์</v>
          </cell>
          <cell r="D137" t="str">
            <v>ราชรักษ์</v>
          </cell>
          <cell r="E137" t="str">
            <v>วผ.ทผก.</v>
          </cell>
          <cell r="F137" t="str">
            <v>Support</v>
          </cell>
          <cell r="G137">
            <v>35.961670088980142</v>
          </cell>
          <cell r="H137" t="str">
            <v>Male</v>
          </cell>
          <cell r="I137" t="str">
            <v>ไม่สูบ</v>
          </cell>
          <cell r="J137">
            <v>130</v>
          </cell>
          <cell r="K137">
            <v>171</v>
          </cell>
          <cell r="L137">
            <v>76.599999999999994</v>
          </cell>
          <cell r="M137">
            <v>26.196094524811055</v>
          </cell>
          <cell r="N137">
            <v>94</v>
          </cell>
          <cell r="O137" t="str">
            <v>ไม่มี</v>
          </cell>
          <cell r="P137">
            <v>83</v>
          </cell>
          <cell r="Q137">
            <v>294</v>
          </cell>
          <cell r="R137">
            <v>1</v>
          </cell>
          <cell r="S137">
            <v>0</v>
          </cell>
          <cell r="T137">
            <v>0</v>
          </cell>
          <cell r="U137">
            <v>6.6702134633812458</v>
          </cell>
          <cell r="V137">
            <v>2.4498889678353231</v>
          </cell>
          <cell r="W137" t="str">
            <v>ความเสี่ยงต่ำ</v>
          </cell>
        </row>
        <row r="138">
          <cell r="A138">
            <v>650107</v>
          </cell>
          <cell r="B138" t="str">
            <v>นาย</v>
          </cell>
          <cell r="C138" t="str">
            <v>วีรภัทร</v>
          </cell>
          <cell r="D138" t="str">
            <v>นารีนุช</v>
          </cell>
          <cell r="E138" t="str">
            <v>ผ.ปก.B คธ.</v>
          </cell>
          <cell r="F138" t="str">
            <v>Operation</v>
          </cell>
          <cell r="G138">
            <v>24.432580424366858</v>
          </cell>
          <cell r="H138" t="str">
            <v>Male</v>
          </cell>
          <cell r="I138" t="str">
            <v>ไม่ระบุ</v>
          </cell>
          <cell r="J138">
            <v>127</v>
          </cell>
          <cell r="K138">
            <v>183.5</v>
          </cell>
          <cell r="L138">
            <v>95.1</v>
          </cell>
          <cell r="M138">
            <v>28.242840914996769</v>
          </cell>
          <cell r="N138">
            <v>95</v>
          </cell>
          <cell r="O138" t="str">
            <v>ไม่มี</v>
          </cell>
          <cell r="P138">
            <v>93</v>
          </cell>
          <cell r="Q138">
            <v>163</v>
          </cell>
          <cell r="R138">
            <v>1</v>
          </cell>
          <cell r="S138">
            <v>1</v>
          </cell>
          <cell r="T138">
            <v>0</v>
          </cell>
          <cell r="U138">
            <v>5.8057080561259395</v>
          </cell>
          <cell r="V138">
            <v>1.03945209348556</v>
          </cell>
          <cell r="W138" t="str">
            <v>ความเสี่ยงต่ำ</v>
          </cell>
        </row>
        <row r="139">
          <cell r="A139">
            <v>530152</v>
          </cell>
          <cell r="B139" t="str">
            <v>นาย</v>
          </cell>
          <cell r="C139" t="str">
            <v>ปฐมพร</v>
          </cell>
          <cell r="D139" t="str">
            <v>สีหาเสนา</v>
          </cell>
          <cell r="E139" t="str">
            <v>คผ.C ปผ.</v>
          </cell>
          <cell r="F139" t="str">
            <v>Operation</v>
          </cell>
          <cell r="G139">
            <v>35.926078028747419</v>
          </cell>
          <cell r="H139" t="str">
            <v>Male</v>
          </cell>
          <cell r="I139" t="str">
            <v>ไม่สูบ</v>
          </cell>
          <cell r="J139">
            <v>137</v>
          </cell>
          <cell r="K139">
            <v>183</v>
          </cell>
          <cell r="L139">
            <v>120.7</v>
          </cell>
          <cell r="M139">
            <v>36.041685329511182</v>
          </cell>
          <cell r="N139">
            <v>120</v>
          </cell>
          <cell r="O139" t="str">
            <v>โรคหมอนรองกระดูกทับเส้นประสาท</v>
          </cell>
          <cell r="P139">
            <v>104</v>
          </cell>
          <cell r="Q139">
            <v>210</v>
          </cell>
          <cell r="R139">
            <v>1</v>
          </cell>
          <cell r="S139">
            <v>0</v>
          </cell>
          <cell r="T139">
            <v>0</v>
          </cell>
          <cell r="U139">
            <v>6.6351009650924011</v>
          </cell>
          <cell r="V139">
            <v>2.3663682029291477</v>
          </cell>
          <cell r="W139" t="str">
            <v>ความเสี่ยงต่ำ</v>
          </cell>
        </row>
        <row r="140">
          <cell r="A140">
            <v>600110</v>
          </cell>
          <cell r="B140" t="str">
            <v>นางสาว</v>
          </cell>
          <cell r="C140" t="str">
            <v>พีรชา</v>
          </cell>
          <cell r="D140" t="str">
            <v>จักรเพ็ชร</v>
          </cell>
          <cell r="E140" t="str">
            <v>ทน.ทผก.</v>
          </cell>
          <cell r="F140" t="str">
            <v>Support</v>
          </cell>
          <cell r="G140">
            <v>32.45174537987679</v>
          </cell>
          <cell r="H140" t="str">
            <v>Female</v>
          </cell>
          <cell r="I140" t="str">
            <v>ไม่สูบ</v>
          </cell>
          <cell r="J140">
            <v>130</v>
          </cell>
          <cell r="K140">
            <v>154.5</v>
          </cell>
          <cell r="L140">
            <v>73.7</v>
          </cell>
          <cell r="M140">
            <v>30.87525266807009</v>
          </cell>
          <cell r="N140">
            <v>95</v>
          </cell>
          <cell r="O140" t="str">
            <v>โรคภูมิแพ้</v>
          </cell>
          <cell r="P140">
            <v>75</v>
          </cell>
          <cell r="Q140">
            <v>227</v>
          </cell>
          <cell r="R140">
            <v>0</v>
          </cell>
          <cell r="S140">
            <v>0</v>
          </cell>
          <cell r="T140">
            <v>0</v>
          </cell>
          <cell r="U140">
            <v>5.8459663244353175</v>
          </cell>
          <cell r="V140">
            <v>1.0819205750419392</v>
          </cell>
          <cell r="W140" t="str">
            <v>ความเสี่ยงต่ำ</v>
          </cell>
        </row>
        <row r="141">
          <cell r="A141">
            <v>470039</v>
          </cell>
          <cell r="B141" t="str">
            <v>นาย</v>
          </cell>
          <cell r="C141" t="str">
            <v>ไพฑูรย์</v>
          </cell>
          <cell r="D141" t="str">
            <v>พรมโว</v>
          </cell>
          <cell r="E141" t="str">
            <v>ผ.ปก.A ปก.</v>
          </cell>
          <cell r="F141" t="str">
            <v>Operation</v>
          </cell>
          <cell r="G141">
            <v>45.848049281314161</v>
          </cell>
          <cell r="H141" t="str">
            <v>Male</v>
          </cell>
          <cell r="I141" t="str">
            <v>ไม่สูบ</v>
          </cell>
          <cell r="J141">
            <v>132</v>
          </cell>
          <cell r="K141">
            <v>174.5</v>
          </cell>
          <cell r="L141">
            <v>88.8</v>
          </cell>
          <cell r="M141">
            <v>29.162322148422426</v>
          </cell>
          <cell r="N141">
            <v>97</v>
          </cell>
          <cell r="O141" t="str">
            <v>โรคภูมิแพ้</v>
          </cell>
          <cell r="P141">
            <v>102</v>
          </cell>
          <cell r="Q141">
            <v>302</v>
          </cell>
          <cell r="R141">
            <v>1</v>
          </cell>
          <cell r="S141">
            <v>0</v>
          </cell>
          <cell r="T141">
            <v>0</v>
          </cell>
          <cell r="U141">
            <v>7.5378558726899385</v>
          </cell>
          <cell r="V141">
            <v>5.7354951869762694</v>
          </cell>
          <cell r="W141" t="str">
            <v>ความเสี่ยงต่ำ</v>
          </cell>
        </row>
        <row r="142">
          <cell r="A142">
            <v>670100</v>
          </cell>
          <cell r="B142" t="str">
            <v>นาย</v>
          </cell>
          <cell r="C142" t="str">
            <v>พัฒนรัฐ</v>
          </cell>
          <cell r="D142" t="str">
            <v>ณ นคร</v>
          </cell>
          <cell r="E142" t="str">
            <v>บค.วบก.</v>
          </cell>
          <cell r="F142" t="str">
            <v>Maintenance</v>
          </cell>
          <cell r="G142">
            <v>23.657768651608471</v>
          </cell>
          <cell r="H142" t="str">
            <v>Male</v>
          </cell>
          <cell r="I142" t="str">
            <v>ไม่สูบ</v>
          </cell>
          <cell r="J142">
            <v>129</v>
          </cell>
          <cell r="K142">
            <v>175.5</v>
          </cell>
          <cell r="L142">
            <v>70.099999999999994</v>
          </cell>
          <cell r="M142">
            <v>22.759555523088288</v>
          </cell>
          <cell r="N142">
            <v>90</v>
          </cell>
          <cell r="O142" t="str">
            <v>ไม่มี</v>
          </cell>
          <cell r="P142">
            <v>86</v>
          </cell>
          <cell r="Q142">
            <v>224</v>
          </cell>
          <cell r="R142">
            <v>1</v>
          </cell>
          <cell r="S142">
            <v>0</v>
          </cell>
          <cell r="T142">
            <v>0</v>
          </cell>
          <cell r="U142">
            <v>5.4941452087611209</v>
          </cell>
          <cell r="V142">
            <v>0.76225614156136823</v>
          </cell>
          <cell r="W142" t="str">
            <v>ความเสี่ยงต่ำ</v>
          </cell>
        </row>
        <row r="143">
          <cell r="A143">
            <v>640055</v>
          </cell>
          <cell r="B143" t="str">
            <v>นาย</v>
          </cell>
          <cell r="C143" t="str">
            <v>ศิริพจน์</v>
          </cell>
          <cell r="D143" t="str">
            <v>ปิณฑะศิริ</v>
          </cell>
          <cell r="E143" t="str">
            <v>ผ.ปก.A คธ.</v>
          </cell>
          <cell r="F143" t="str">
            <v>Operation</v>
          </cell>
          <cell r="G143">
            <v>28.966461327857626</v>
          </cell>
          <cell r="H143" t="str">
            <v>Male</v>
          </cell>
          <cell r="I143" t="str">
            <v>ไม่สูบ</v>
          </cell>
          <cell r="J143">
            <v>107</v>
          </cell>
          <cell r="K143">
            <v>170.5</v>
          </cell>
          <cell r="L143">
            <v>82.5</v>
          </cell>
          <cell r="M143">
            <v>28.379528899820262</v>
          </cell>
          <cell r="N143">
            <v>95</v>
          </cell>
          <cell r="O143" t="str">
            <v>ไม่มี</v>
          </cell>
          <cell r="P143">
            <v>86</v>
          </cell>
          <cell r="Q143">
            <v>205</v>
          </cell>
          <cell r="R143">
            <v>1</v>
          </cell>
          <cell r="S143">
            <v>0</v>
          </cell>
          <cell r="T143">
            <v>0</v>
          </cell>
          <cell r="U143">
            <v>5.4297955304585894</v>
          </cell>
          <cell r="V143">
            <v>0.7149203302261764</v>
          </cell>
          <cell r="W143" t="str">
            <v>ความเสี่ยงต่ำ</v>
          </cell>
        </row>
        <row r="144">
          <cell r="A144">
            <v>490145</v>
          </cell>
          <cell r="B144" t="str">
            <v>นาย</v>
          </cell>
          <cell r="C144" t="str">
            <v>ชาญชัย</v>
          </cell>
          <cell r="D144" t="str">
            <v>กิตติเลิศเสถียร</v>
          </cell>
          <cell r="E144" t="str">
            <v>พน.บรก.</v>
          </cell>
          <cell r="F144" t="str">
            <v>Support</v>
          </cell>
          <cell r="G144">
            <v>41.615331964407922</v>
          </cell>
          <cell r="H144" t="str">
            <v>Male</v>
          </cell>
          <cell r="I144" t="str">
            <v>ไม่สูบ</v>
          </cell>
          <cell r="J144">
            <v>128</v>
          </cell>
          <cell r="K144">
            <v>181.5</v>
          </cell>
          <cell r="L144">
            <v>82.6</v>
          </cell>
          <cell r="M144">
            <v>25.074182850291038</v>
          </cell>
          <cell r="N144">
            <v>87</v>
          </cell>
          <cell r="O144" t="str">
            <v>ไม่มี</v>
          </cell>
          <cell r="P144">
            <v>86</v>
          </cell>
          <cell r="Q144">
            <v>197</v>
          </cell>
          <cell r="R144">
            <v>1</v>
          </cell>
          <cell r="S144">
            <v>0</v>
          </cell>
          <cell r="T144">
            <v>0</v>
          </cell>
          <cell r="U144">
            <v>6.8855326146475004</v>
          </cell>
          <cell r="V144">
            <v>3.0294951238333367</v>
          </cell>
          <cell r="W144" t="str">
            <v>ความเสี่ยงต่ำ</v>
          </cell>
        </row>
        <row r="145">
          <cell r="A145">
            <v>580048</v>
          </cell>
          <cell r="B145" t="str">
            <v>นาย</v>
          </cell>
          <cell r="C145" t="str">
            <v>ฉัตรชัย</v>
          </cell>
          <cell r="D145" t="str">
            <v>ไสยสุข</v>
          </cell>
          <cell r="E145" t="str">
            <v>ผ.ปก.D ปอ.</v>
          </cell>
          <cell r="F145" t="str">
            <v>Operation</v>
          </cell>
          <cell r="G145">
            <v>33.259411362080762</v>
          </cell>
          <cell r="H145" t="str">
            <v>Male</v>
          </cell>
          <cell r="I145" t="str">
            <v>สูบ 2 มวนต่อวัน</v>
          </cell>
          <cell r="J145">
            <v>146</v>
          </cell>
          <cell r="K145">
            <v>163</v>
          </cell>
          <cell r="L145">
            <v>82.5</v>
          </cell>
          <cell r="M145">
            <v>31.051225111972599</v>
          </cell>
          <cell r="N145">
            <v>99</v>
          </cell>
          <cell r="O145" t="str">
            <v>ไม่มี</v>
          </cell>
          <cell r="P145">
            <v>85</v>
          </cell>
          <cell r="Q145">
            <v>270</v>
          </cell>
          <cell r="R145">
            <v>1</v>
          </cell>
          <cell r="S145">
            <v>1</v>
          </cell>
          <cell r="T145">
            <v>0</v>
          </cell>
          <cell r="U145">
            <v>7.1508076317590685</v>
          </cell>
          <cell r="V145">
            <v>3.9315187680017183</v>
          </cell>
          <cell r="W145" t="str">
            <v>ความเสี่ยงต่ำ</v>
          </cell>
        </row>
        <row r="146">
          <cell r="A146">
            <v>580286</v>
          </cell>
          <cell r="B146" t="str">
            <v>นาย</v>
          </cell>
          <cell r="C146" t="str">
            <v>ธีรพงษ์</v>
          </cell>
          <cell r="D146" t="str">
            <v>พุทธตาล</v>
          </cell>
          <cell r="E146" t="str">
            <v>ผ.ปก.D ปก.</v>
          </cell>
          <cell r="F146" t="str">
            <v>Operation</v>
          </cell>
          <cell r="G146">
            <v>34.918548939082818</v>
          </cell>
          <cell r="H146" t="str">
            <v>Male</v>
          </cell>
          <cell r="I146" t="str">
            <v>ไม่สูบ</v>
          </cell>
          <cell r="J146">
            <v>118</v>
          </cell>
          <cell r="K146">
            <v>176</v>
          </cell>
          <cell r="L146">
            <v>81.099999999999994</v>
          </cell>
          <cell r="M146">
            <v>26.181559917355372</v>
          </cell>
          <cell r="N146">
            <v>94</v>
          </cell>
          <cell r="O146" t="str">
            <v>ไม่มี</v>
          </cell>
          <cell r="P146">
            <v>96</v>
          </cell>
          <cell r="Q146">
            <v>159</v>
          </cell>
          <cell r="R146">
            <v>1</v>
          </cell>
          <cell r="S146">
            <v>0</v>
          </cell>
          <cell r="T146">
            <v>0</v>
          </cell>
          <cell r="U146">
            <v>6.0485748596851474</v>
          </cell>
          <cell r="V146">
            <v>1.3232981140737676</v>
          </cell>
          <cell r="W146" t="str">
            <v>ความเสี่ยงต่ำ</v>
          </cell>
        </row>
        <row r="147">
          <cell r="A147">
            <v>670129</v>
          </cell>
          <cell r="B147" t="str">
            <v>นาย</v>
          </cell>
          <cell r="C147" t="str">
            <v>ปิยะพัทธ์</v>
          </cell>
          <cell r="D147" t="str">
            <v>นาคโชติ</v>
          </cell>
          <cell r="E147" t="str">
            <v>คผ.A ปผ.</v>
          </cell>
          <cell r="F147" t="str">
            <v>Operation</v>
          </cell>
          <cell r="G147">
            <v>25.158110882956866</v>
          </cell>
          <cell r="H147" t="str">
            <v>Male</v>
          </cell>
          <cell r="I147" t="str">
            <v>ไม่สูบ</v>
          </cell>
          <cell r="J147">
            <v>113</v>
          </cell>
          <cell r="K147">
            <v>164.5</v>
          </cell>
          <cell r="L147">
            <v>63.6</v>
          </cell>
          <cell r="M147">
            <v>23.503108803503292</v>
          </cell>
          <cell r="N147">
            <v>83</v>
          </cell>
          <cell r="O147" t="str">
            <v>ไม่มี</v>
          </cell>
          <cell r="P147">
            <v>82</v>
          </cell>
          <cell r="Q147">
            <v>175</v>
          </cell>
          <cell r="R147">
            <v>1</v>
          </cell>
          <cell r="S147">
            <v>0</v>
          </cell>
          <cell r="T147">
            <v>0</v>
          </cell>
          <cell r="U147">
            <v>5.1795982135523602</v>
          </cell>
          <cell r="V147">
            <v>0.55711241349761798</v>
          </cell>
          <cell r="W147" t="str">
            <v>ความเสี่ยงต่ำ</v>
          </cell>
        </row>
        <row r="148">
          <cell r="A148">
            <v>640061</v>
          </cell>
          <cell r="B148" t="str">
            <v>นางสาว</v>
          </cell>
          <cell r="C148" t="str">
            <v>ชัญญานุช</v>
          </cell>
          <cell r="D148" t="str">
            <v>คล้ายแก้ว</v>
          </cell>
          <cell r="E148" t="str">
            <v>บร.บรก.</v>
          </cell>
          <cell r="F148" t="str">
            <v>Support</v>
          </cell>
          <cell r="G148">
            <v>31.890485968514717</v>
          </cell>
          <cell r="H148" t="str">
            <v>Female</v>
          </cell>
          <cell r="I148" t="str">
            <v>ไม่สูบ</v>
          </cell>
          <cell r="J148">
            <v>92</v>
          </cell>
          <cell r="K148">
            <v>162</v>
          </cell>
          <cell r="L148">
            <v>50.2</v>
          </cell>
          <cell r="M148">
            <v>19.128181679622006</v>
          </cell>
          <cell r="N148">
            <v>63</v>
          </cell>
          <cell r="O148" t="str">
            <v>โรคภูมิแพ้</v>
          </cell>
          <cell r="P148">
            <v>83</v>
          </cell>
          <cell r="Q148">
            <v>306</v>
          </cell>
          <cell r="R148">
            <v>0</v>
          </cell>
          <cell r="S148">
            <v>0</v>
          </cell>
          <cell r="T148">
            <v>0</v>
          </cell>
          <cell r="U148">
            <v>5.1755984668035593</v>
          </cell>
          <cell r="V148">
            <v>0.55489473683557611</v>
          </cell>
          <cell r="W148" t="str">
            <v>ความเสี่ยงต่ำ</v>
          </cell>
        </row>
        <row r="149">
          <cell r="A149">
            <v>480228</v>
          </cell>
          <cell r="B149" t="str">
            <v>นาย</v>
          </cell>
          <cell r="C149" t="str">
            <v>มงคล</v>
          </cell>
          <cell r="D149" t="str">
            <v>ณัฐประเสริฐ</v>
          </cell>
          <cell r="E149" t="str">
            <v>บฟ.วบก.</v>
          </cell>
          <cell r="F149" t="str">
            <v>Maintenance</v>
          </cell>
          <cell r="G149">
            <v>47.301848049281304</v>
          </cell>
          <cell r="H149" t="str">
            <v>Male</v>
          </cell>
          <cell r="I149" t="str">
            <v>ไม่สูบ</v>
          </cell>
          <cell r="J149">
            <v>111</v>
          </cell>
          <cell r="K149">
            <v>174</v>
          </cell>
          <cell r="L149">
            <v>63.5</v>
          </cell>
          <cell r="M149">
            <v>20.973708548024835</v>
          </cell>
          <cell r="N149">
            <v>81</v>
          </cell>
          <cell r="O149" t="str">
            <v>ไม่มี</v>
          </cell>
          <cell r="P149">
            <v>83</v>
          </cell>
          <cell r="Q149">
            <v>258</v>
          </cell>
          <cell r="R149">
            <v>1</v>
          </cell>
          <cell r="S149">
            <v>0</v>
          </cell>
          <cell r="T149">
            <v>0</v>
          </cell>
          <cell r="U149">
            <v>7.1259002258726891</v>
          </cell>
          <cell r="V149">
            <v>3.8366841006664765</v>
          </cell>
          <cell r="W149" t="str">
            <v>ความเสี่ยงต่ำ</v>
          </cell>
        </row>
        <row r="150">
          <cell r="A150">
            <v>620074</v>
          </cell>
          <cell r="B150" t="str">
            <v>นางสาว</v>
          </cell>
          <cell r="C150" t="str">
            <v>ฐิตวันต์</v>
          </cell>
          <cell r="D150" t="str">
            <v>ทาวงษ์</v>
          </cell>
          <cell r="E150" t="str">
            <v>บป.ทผก.</v>
          </cell>
          <cell r="F150" t="str">
            <v>Support</v>
          </cell>
          <cell r="G150">
            <v>28.48186173853524</v>
          </cell>
          <cell r="H150" t="str">
            <v>Female</v>
          </cell>
          <cell r="I150" t="str">
            <v>ไม่สูบ</v>
          </cell>
          <cell r="J150">
            <v>112</v>
          </cell>
          <cell r="K150">
            <v>155</v>
          </cell>
          <cell r="L150">
            <v>52.5</v>
          </cell>
          <cell r="M150">
            <v>21.852237252861602</v>
          </cell>
          <cell r="N150">
            <v>72</v>
          </cell>
          <cell r="O150" t="str">
            <v>ไม่มี</v>
          </cell>
          <cell r="P150">
            <v>76</v>
          </cell>
          <cell r="Q150">
            <v>206</v>
          </cell>
          <cell r="R150">
            <v>0</v>
          </cell>
          <cell r="S150">
            <v>0</v>
          </cell>
          <cell r="T150">
            <v>0</v>
          </cell>
          <cell r="U150">
            <v>5.1014707460643391</v>
          </cell>
          <cell r="V150">
            <v>0.51535156254554071</v>
          </cell>
          <cell r="W150" t="str">
            <v>ความเสี่ยงต่ำ</v>
          </cell>
        </row>
        <row r="151">
          <cell r="A151">
            <v>650030</v>
          </cell>
          <cell r="B151" t="str">
            <v>นาย</v>
          </cell>
          <cell r="C151" t="str">
            <v>ธรณ์เทพ</v>
          </cell>
          <cell r="D151" t="str">
            <v>คำรัตน์</v>
          </cell>
          <cell r="E151" t="str">
            <v>บง.วบก.</v>
          </cell>
          <cell r="F151" t="str">
            <v>Maintenance</v>
          </cell>
          <cell r="G151">
            <v>25.689253935660503</v>
          </cell>
          <cell r="H151" t="str">
            <v>Male</v>
          </cell>
          <cell r="I151" t="str">
            <v>ไม่ระบุ</v>
          </cell>
          <cell r="J151">
            <v>111</v>
          </cell>
          <cell r="K151">
            <v>169.5</v>
          </cell>
          <cell r="L151">
            <v>63.4</v>
          </cell>
          <cell r="M151">
            <v>22.067333211510515</v>
          </cell>
          <cell r="N151">
            <v>81</v>
          </cell>
          <cell r="O151" t="str">
            <v>ไม่มี</v>
          </cell>
          <cell r="P151">
            <v>83</v>
          </cell>
          <cell r="Q151">
            <v>216</v>
          </cell>
          <cell r="R151">
            <v>1</v>
          </cell>
          <cell r="S151">
            <v>1</v>
          </cell>
          <cell r="T151">
            <v>0</v>
          </cell>
          <cell r="U151">
            <v>5.6874616495550985</v>
          </cell>
          <cell r="V151">
            <v>0.92406674369339692</v>
          </cell>
          <cell r="W151" t="str">
            <v>ความเสี่ยงต่ำ</v>
          </cell>
        </row>
        <row r="152">
          <cell r="A152">
            <v>480231</v>
          </cell>
          <cell r="B152" t="str">
            <v>นาย</v>
          </cell>
          <cell r="C152" t="str">
            <v>พัชรพงษ์</v>
          </cell>
          <cell r="D152" t="str">
            <v>บุษบงค์</v>
          </cell>
          <cell r="E152" t="str">
            <v>คผ.C ปผ.</v>
          </cell>
          <cell r="F152" t="str">
            <v>Operation</v>
          </cell>
          <cell r="G152">
            <v>44.626967830253228</v>
          </cell>
          <cell r="H152" t="str">
            <v>Male</v>
          </cell>
          <cell r="I152" t="str">
            <v>ไม่สูบ</v>
          </cell>
          <cell r="J152">
            <v>112</v>
          </cell>
          <cell r="K152">
            <v>176</v>
          </cell>
          <cell r="L152">
            <v>76.8</v>
          </cell>
          <cell r="M152">
            <v>24.793388429752063</v>
          </cell>
          <cell r="N152">
            <v>86</v>
          </cell>
          <cell r="O152" t="str">
            <v>ไม่มี</v>
          </cell>
          <cell r="P152">
            <v>90</v>
          </cell>
          <cell r="Q152">
            <v>231</v>
          </cell>
          <cell r="R152">
            <v>1</v>
          </cell>
          <cell r="S152">
            <v>0</v>
          </cell>
          <cell r="T152">
            <v>0</v>
          </cell>
          <cell r="U152">
            <v>6.8706147775496218</v>
          </cell>
          <cell r="V152">
            <v>2.9853134262119219</v>
          </cell>
          <cell r="W152" t="str">
            <v>ความเสี่ยงต่ำ</v>
          </cell>
        </row>
        <row r="153">
          <cell r="A153">
            <v>480236</v>
          </cell>
          <cell r="B153" t="str">
            <v>นาย</v>
          </cell>
          <cell r="C153" t="str">
            <v>สุวิทย์</v>
          </cell>
          <cell r="D153" t="str">
            <v>อ่อนพิมพ์</v>
          </cell>
          <cell r="E153" t="str">
            <v>คผ.A ปต.</v>
          </cell>
          <cell r="F153" t="str">
            <v>Operation</v>
          </cell>
          <cell r="G153">
            <v>44.714579055441476</v>
          </cell>
          <cell r="H153" t="str">
            <v>Male</v>
          </cell>
          <cell r="I153" t="str">
            <v>ไม่สูบ</v>
          </cell>
          <cell r="J153">
            <v>117</v>
          </cell>
          <cell r="K153">
            <v>161</v>
          </cell>
          <cell r="L153">
            <v>85.6</v>
          </cell>
          <cell r="M153">
            <v>33.023417306431078</v>
          </cell>
          <cell r="N153">
            <v>103</v>
          </cell>
          <cell r="O153" t="str">
            <v>โรคไมเกรน</v>
          </cell>
          <cell r="P153">
            <v>86</v>
          </cell>
          <cell r="Q153">
            <v>205</v>
          </cell>
          <cell r="R153">
            <v>1</v>
          </cell>
          <cell r="S153">
            <v>0</v>
          </cell>
          <cell r="T153">
            <v>0</v>
          </cell>
          <cell r="U153">
            <v>6.9268640041067755</v>
          </cell>
          <cell r="V153">
            <v>3.1552940749429714</v>
          </cell>
          <cell r="W153" t="str">
            <v>ความเสี่ยงต่ำ</v>
          </cell>
        </row>
        <row r="154">
          <cell r="A154">
            <v>660036</v>
          </cell>
          <cell r="B154" t="str">
            <v>นาย</v>
          </cell>
          <cell r="C154" t="str">
            <v>ภาณุวัฒน์</v>
          </cell>
          <cell r="D154" t="str">
            <v>หรูพิทักษ์</v>
          </cell>
          <cell r="E154" t="str">
            <v>ผ.ปก.C คธ.</v>
          </cell>
          <cell r="F154" t="str">
            <v>Operation</v>
          </cell>
          <cell r="G154">
            <v>26.034223134839131</v>
          </cell>
          <cell r="H154" t="str">
            <v>Male</v>
          </cell>
          <cell r="I154" t="str">
            <v>ไม่ระบุ</v>
          </cell>
          <cell r="J154">
            <v>111</v>
          </cell>
          <cell r="K154">
            <v>179.5</v>
          </cell>
          <cell r="L154">
            <v>74.8</v>
          </cell>
          <cell r="M154">
            <v>23.215214034652121</v>
          </cell>
          <cell r="N154">
            <v>88</v>
          </cell>
          <cell r="O154" t="str">
            <v>ไม่มี</v>
          </cell>
          <cell r="P154">
            <v>84</v>
          </cell>
          <cell r="Q154">
            <v>240</v>
          </cell>
          <cell r="R154">
            <v>1</v>
          </cell>
          <cell r="S154">
            <v>1</v>
          </cell>
          <cell r="T154">
            <v>0</v>
          </cell>
          <cell r="U154">
            <v>5.7665704791238861</v>
          </cell>
          <cell r="V154">
            <v>0.99975637445444132</v>
          </cell>
          <cell r="W154" t="str">
            <v>ความเสี่ยงต่ำ</v>
          </cell>
        </row>
        <row r="155">
          <cell r="A155">
            <v>620006</v>
          </cell>
          <cell r="B155" t="str">
            <v>นางสาว</v>
          </cell>
          <cell r="C155" t="str">
            <v>สุธิรา</v>
          </cell>
          <cell r="D155" t="str">
            <v>ทองธรรมชาติ</v>
          </cell>
          <cell r="E155" t="str">
            <v>คพ.ทผก.</v>
          </cell>
          <cell r="F155" t="str">
            <v>Support</v>
          </cell>
          <cell r="G155">
            <v>29.979466119096493</v>
          </cell>
          <cell r="H155" t="str">
            <v>Female</v>
          </cell>
          <cell r="I155" t="str">
            <v>ไม่สูบ</v>
          </cell>
          <cell r="J155">
            <v>112</v>
          </cell>
          <cell r="K155">
            <v>157.5</v>
          </cell>
          <cell r="L155">
            <v>62.8</v>
          </cell>
          <cell r="M155">
            <v>25.316200554295794</v>
          </cell>
          <cell r="N155">
            <v>76</v>
          </cell>
          <cell r="O155" t="str">
            <v>ไม่มี</v>
          </cell>
          <cell r="P155">
            <v>81</v>
          </cell>
          <cell r="Q155">
            <v>206</v>
          </cell>
          <cell r="R155">
            <v>0</v>
          </cell>
          <cell r="S155">
            <v>0</v>
          </cell>
          <cell r="T155">
            <v>0</v>
          </cell>
          <cell r="U155">
            <v>5.2240197125256662</v>
          </cell>
          <cell r="V155">
            <v>0.58234425531220602</v>
          </cell>
          <cell r="W155" t="str">
            <v>ความเสี่ยงต่ำ</v>
          </cell>
        </row>
        <row r="156">
          <cell r="A156">
            <v>540328</v>
          </cell>
          <cell r="B156" t="str">
            <v>นาย</v>
          </cell>
          <cell r="C156" t="str">
            <v>จิรายุ</v>
          </cell>
          <cell r="D156" t="str">
            <v>ประทุมยศ</v>
          </cell>
          <cell r="E156" t="str">
            <v>คผ.C ปผ.</v>
          </cell>
          <cell r="F156" t="str">
            <v>Operation</v>
          </cell>
          <cell r="G156">
            <v>35.501711156741955</v>
          </cell>
          <cell r="H156" t="str">
            <v>Male</v>
          </cell>
          <cell r="I156" t="str">
            <v>ไม่ระบุ</v>
          </cell>
          <cell r="J156">
            <v>122</v>
          </cell>
          <cell r="K156">
            <v>168.5</v>
          </cell>
          <cell r="L156">
            <v>69</v>
          </cell>
          <cell r="M156">
            <v>24.302406466553375</v>
          </cell>
          <cell r="N156">
            <v>87</v>
          </cell>
          <cell r="O156" t="str">
            <v>ไม่มี</v>
          </cell>
          <cell r="P156">
            <v>77</v>
          </cell>
          <cell r="Q156">
            <v>199</v>
          </cell>
          <cell r="R156">
            <v>1</v>
          </cell>
          <cell r="S156">
            <v>1</v>
          </cell>
          <cell r="T156">
            <v>0</v>
          </cell>
          <cell r="U156">
            <v>6.683615023956194</v>
          </cell>
          <cell r="V156">
            <v>2.4825285974936051</v>
          </cell>
          <cell r="W156" t="str">
            <v>ความเสี่ยงต่ำ</v>
          </cell>
        </row>
        <row r="157">
          <cell r="A157">
            <v>490051</v>
          </cell>
          <cell r="B157" t="str">
            <v>นาย</v>
          </cell>
          <cell r="C157" t="str">
            <v>ชยธร</v>
          </cell>
          <cell r="D157" t="str">
            <v>ชื่นชม</v>
          </cell>
          <cell r="E157" t="str">
            <v>บผ.สยก.</v>
          </cell>
          <cell r="F157" t="str">
            <v>Operation</v>
          </cell>
          <cell r="G157">
            <v>45.719370294318949</v>
          </cell>
          <cell r="H157" t="str">
            <v>Male</v>
          </cell>
          <cell r="I157" t="str">
            <v>ไม่สูบ</v>
          </cell>
          <cell r="J157">
            <v>114</v>
          </cell>
          <cell r="K157">
            <v>181</v>
          </cell>
          <cell r="L157">
            <v>102</v>
          </cell>
          <cell r="M157">
            <v>31.134580751503311</v>
          </cell>
          <cell r="N157">
            <v>106</v>
          </cell>
          <cell r="O157" t="str">
            <v>ไม่มี</v>
          </cell>
          <cell r="P157">
            <v>88</v>
          </cell>
          <cell r="Q157">
            <v>214</v>
          </cell>
          <cell r="R157">
            <v>1</v>
          </cell>
          <cell r="S157">
            <v>0</v>
          </cell>
          <cell r="T157">
            <v>0</v>
          </cell>
          <cell r="U157">
            <v>6.9656460711841195</v>
          </cell>
          <cell r="V157">
            <v>3.2779994236009746</v>
          </cell>
          <cell r="W157" t="str">
            <v>ความเสี่ยงต่ำ</v>
          </cell>
        </row>
        <row r="158">
          <cell r="A158">
            <v>660081</v>
          </cell>
          <cell r="B158" t="str">
            <v>นางสาว</v>
          </cell>
          <cell r="C158" t="str">
            <v>วรัญญา</v>
          </cell>
          <cell r="D158" t="str">
            <v>ขันติอุดม</v>
          </cell>
          <cell r="E158" t="str">
            <v>วป.วบก.</v>
          </cell>
          <cell r="F158" t="str">
            <v>Maintenance</v>
          </cell>
          <cell r="G158">
            <v>28.714579055441472</v>
          </cell>
          <cell r="H158" t="str">
            <v>Female</v>
          </cell>
          <cell r="I158" t="str">
            <v>ไม่สูบ</v>
          </cell>
          <cell r="J158">
            <v>109</v>
          </cell>
          <cell r="K158">
            <v>157</v>
          </cell>
          <cell r="L158">
            <v>52.5</v>
          </cell>
          <cell r="M158">
            <v>21.299038500547688</v>
          </cell>
          <cell r="N158">
            <v>69</v>
          </cell>
          <cell r="O158" t="str">
            <v>โรคภูมิแพ้</v>
          </cell>
          <cell r="P158">
            <v>80</v>
          </cell>
          <cell r="Q158">
            <v>177</v>
          </cell>
          <cell r="R158">
            <v>0</v>
          </cell>
          <cell r="S158">
            <v>0</v>
          </cell>
          <cell r="T158">
            <v>0</v>
          </cell>
          <cell r="U158">
            <v>4.9965140041067757</v>
          </cell>
          <cell r="V158">
            <v>0.46412307456233926</v>
          </cell>
          <cell r="W158" t="str">
            <v>ความเสี่ยงต่ำ</v>
          </cell>
        </row>
        <row r="159">
          <cell r="A159">
            <v>580299</v>
          </cell>
          <cell r="B159" t="str">
            <v>นาย</v>
          </cell>
          <cell r="C159" t="str">
            <v>อัครพล</v>
          </cell>
          <cell r="D159" t="str">
            <v>อรัณยะนาค</v>
          </cell>
          <cell r="E159" t="str">
            <v>คผ.D ปต.</v>
          </cell>
          <cell r="F159" t="str">
            <v>Operation</v>
          </cell>
          <cell r="G159">
            <v>35.140314852840518</v>
          </cell>
          <cell r="H159" t="str">
            <v>Male</v>
          </cell>
          <cell r="I159" t="str">
            <v>ไม่สูบ</v>
          </cell>
          <cell r="J159">
            <v>129</v>
          </cell>
          <cell r="K159">
            <v>168</v>
          </cell>
          <cell r="L159">
            <v>84</v>
          </cell>
          <cell r="M159">
            <v>29.761904761904763</v>
          </cell>
          <cell r="N159">
            <v>95</v>
          </cell>
          <cell r="O159" t="str">
            <v>ไม่มี</v>
          </cell>
          <cell r="P159">
            <v>97</v>
          </cell>
          <cell r="Q159">
            <v>213</v>
          </cell>
          <cell r="R159">
            <v>1</v>
          </cell>
          <cell r="S159">
            <v>0</v>
          </cell>
          <cell r="T159">
            <v>0</v>
          </cell>
          <cell r="U159">
            <v>6.4104419644079398</v>
          </cell>
          <cell r="V159">
            <v>1.8947711169951531</v>
          </cell>
          <cell r="W159" t="str">
            <v>ความเสี่ยงต่ำ</v>
          </cell>
        </row>
        <row r="160">
          <cell r="A160">
            <v>580263</v>
          </cell>
          <cell r="B160" t="str">
            <v>นาย</v>
          </cell>
          <cell r="C160" t="str">
            <v>รัชพงศ์</v>
          </cell>
          <cell r="D160" t="str">
            <v>พันธุมวรรณ</v>
          </cell>
          <cell r="E160" t="str">
            <v>ผ.ปก.B คธ.</v>
          </cell>
          <cell r="F160" t="str">
            <v>Operation</v>
          </cell>
          <cell r="G160">
            <v>30.433949349760432</v>
          </cell>
          <cell r="H160" t="str">
            <v>Male</v>
          </cell>
          <cell r="I160" t="str">
            <v>ไม่สูบ</v>
          </cell>
          <cell r="J160">
            <v>139</v>
          </cell>
          <cell r="K160">
            <v>167.5</v>
          </cell>
          <cell r="L160">
            <v>78.8</v>
          </cell>
          <cell r="M160">
            <v>28.086433504121185</v>
          </cell>
          <cell r="N160">
            <v>92</v>
          </cell>
          <cell r="O160" t="str">
            <v>ไม่มี</v>
          </cell>
          <cell r="P160">
            <v>86</v>
          </cell>
          <cell r="Q160">
            <v>295</v>
          </cell>
          <cell r="R160">
            <v>1</v>
          </cell>
          <cell r="S160">
            <v>0</v>
          </cell>
          <cell r="T160">
            <v>0</v>
          </cell>
          <cell r="U160">
            <v>6.4075600752908963</v>
          </cell>
          <cell r="V160">
            <v>1.8893702959324132</v>
          </cell>
          <cell r="W160" t="str">
            <v>ความเสี่ยงต่ำ</v>
          </cell>
        </row>
        <row r="161">
          <cell r="A161">
            <v>540071</v>
          </cell>
          <cell r="B161" t="str">
            <v>นาย</v>
          </cell>
          <cell r="C161" t="str">
            <v>จักร์พันธุ์</v>
          </cell>
          <cell r="D161" t="str">
            <v>บุญธรรม</v>
          </cell>
          <cell r="E161" t="str">
            <v>คผ.B ปต.</v>
          </cell>
          <cell r="F161" t="str">
            <v>Operation</v>
          </cell>
          <cell r="G161">
            <v>37.382614647501697</v>
          </cell>
          <cell r="H161" t="str">
            <v>Male</v>
          </cell>
          <cell r="I161" t="str">
            <v>ไม่ระบุ</v>
          </cell>
          <cell r="J161">
            <v>130</v>
          </cell>
          <cell r="K161">
            <v>173</v>
          </cell>
          <cell r="L161">
            <v>83.5</v>
          </cell>
          <cell r="M161">
            <v>27.899361822981056</v>
          </cell>
          <cell r="N161">
            <v>93</v>
          </cell>
          <cell r="O161" t="str">
            <v>ไม่มี</v>
          </cell>
          <cell r="P161">
            <v>102</v>
          </cell>
          <cell r="Q161">
            <v>162</v>
          </cell>
          <cell r="R161">
            <v>1</v>
          </cell>
          <cell r="S161">
            <v>1</v>
          </cell>
          <cell r="T161">
            <v>0</v>
          </cell>
          <cell r="U161">
            <v>6.9258093566050638</v>
          </cell>
          <cell r="V161">
            <v>3.1520210836006202</v>
          </cell>
          <cell r="W161" t="str">
            <v>ความเสี่ยงต่ำ</v>
          </cell>
        </row>
        <row r="162">
          <cell r="A162">
            <v>640127</v>
          </cell>
          <cell r="B162" t="str">
            <v>นาย</v>
          </cell>
          <cell r="C162" t="str">
            <v>รวีวิชญ์</v>
          </cell>
          <cell r="D162" t="str">
            <v>เริงนิรันดร์สถิต</v>
          </cell>
          <cell r="E162" t="str">
            <v>บผ.สยก.</v>
          </cell>
          <cell r="F162" t="str">
            <v>Operation</v>
          </cell>
          <cell r="G162">
            <v>32.298425735797387</v>
          </cell>
          <cell r="H162" t="str">
            <v>Male</v>
          </cell>
          <cell r="I162" t="str">
            <v>ไม่สูบ</v>
          </cell>
          <cell r="J162">
            <v>101</v>
          </cell>
          <cell r="K162">
            <v>166.5</v>
          </cell>
          <cell r="L162">
            <v>69.400000000000006</v>
          </cell>
          <cell r="M162">
            <v>25.034043052061069</v>
          </cell>
          <cell r="N162">
            <v>82</v>
          </cell>
          <cell r="O162" t="str">
            <v>ไม่มี</v>
          </cell>
          <cell r="P162">
            <v>78</v>
          </cell>
          <cell r="Q162">
            <v>203</v>
          </cell>
          <cell r="R162">
            <v>1</v>
          </cell>
          <cell r="S162">
            <v>0</v>
          </cell>
          <cell r="T162">
            <v>0</v>
          </cell>
          <cell r="U162">
            <v>5.5731701779603009</v>
          </cell>
          <cell r="V162">
            <v>0.82467834261922279</v>
          </cell>
          <cell r="W162" t="str">
            <v>ความเสี่ยงต่ำ</v>
          </cell>
        </row>
        <row r="163">
          <cell r="A163">
            <v>570064</v>
          </cell>
          <cell r="B163" t="str">
            <v>นาย</v>
          </cell>
          <cell r="C163" t="str">
            <v>กฤษณ์</v>
          </cell>
          <cell r="D163" t="str">
            <v>จารุดำรงค์ศักดิ์</v>
          </cell>
          <cell r="E163" t="str">
            <v>อท.บรก.</v>
          </cell>
          <cell r="F163" t="str">
            <v>Support</v>
          </cell>
          <cell r="G163">
            <v>36.941820670773431</v>
          </cell>
          <cell r="H163" t="str">
            <v>Male</v>
          </cell>
          <cell r="I163" t="str">
            <v>ไม่สูบ</v>
          </cell>
          <cell r="J163">
            <v>104</v>
          </cell>
          <cell r="K163">
            <v>190</v>
          </cell>
          <cell r="L163">
            <v>80.2</v>
          </cell>
          <cell r="M163">
            <v>22.216066481994456</v>
          </cell>
          <cell r="N163">
            <v>82</v>
          </cell>
          <cell r="O163" t="str">
            <v>ไม่มี</v>
          </cell>
          <cell r="P163">
            <v>81</v>
          </cell>
          <cell r="Q163">
            <v>137</v>
          </cell>
          <cell r="R163">
            <v>1</v>
          </cell>
          <cell r="S163">
            <v>0</v>
          </cell>
          <cell r="T163">
            <v>0</v>
          </cell>
          <cell r="U163">
            <v>5.8757391854893903</v>
          </cell>
          <cell r="V163">
            <v>1.1144339010068838</v>
          </cell>
          <cell r="W163" t="str">
            <v>ความเสี่ยงต่ำ</v>
          </cell>
        </row>
        <row r="164">
          <cell r="A164">
            <v>550165</v>
          </cell>
          <cell r="B164" t="str">
            <v>นาย</v>
          </cell>
          <cell r="C164" t="str">
            <v>อภิลักษณ์</v>
          </cell>
          <cell r="D164" t="str">
            <v>ตันเพ็ง</v>
          </cell>
          <cell r="E164" t="str">
            <v>คผ.C ปผ.</v>
          </cell>
          <cell r="F164" t="str">
            <v>Operation</v>
          </cell>
          <cell r="G164">
            <v>34.403832991101972</v>
          </cell>
          <cell r="H164" t="str">
            <v>Male</v>
          </cell>
          <cell r="I164" t="str">
            <v>ไม่สูบ</v>
          </cell>
          <cell r="J164">
            <v>133</v>
          </cell>
          <cell r="K164">
            <v>176.5</v>
          </cell>
          <cell r="L164">
            <v>88.4</v>
          </cell>
          <cell r="M164">
            <v>28.376762513141106</v>
          </cell>
          <cell r="N164">
            <v>98</v>
          </cell>
          <cell r="O164" t="str">
            <v>ไม่มี</v>
          </cell>
          <cell r="P164">
            <v>96</v>
          </cell>
          <cell r="Q164">
            <v>193</v>
          </cell>
          <cell r="R164">
            <v>1</v>
          </cell>
          <cell r="S164">
            <v>0</v>
          </cell>
          <cell r="T164">
            <v>0</v>
          </cell>
          <cell r="U164">
            <v>6.3911356536618751</v>
          </cell>
          <cell r="V164">
            <v>1.858879802306268</v>
          </cell>
          <cell r="W164" t="str">
            <v>ความเสี่ยงต่ำ</v>
          </cell>
        </row>
        <row r="165">
          <cell r="A165">
            <v>480237</v>
          </cell>
          <cell r="B165" t="str">
            <v>นาย</v>
          </cell>
          <cell r="C165" t="str">
            <v>กฤษณะ</v>
          </cell>
          <cell r="D165" t="str">
            <v>รักษาสุข</v>
          </cell>
          <cell r="E165" t="str">
            <v>คผ.A ปต.</v>
          </cell>
          <cell r="F165" t="str">
            <v>Operation</v>
          </cell>
          <cell r="G165">
            <v>41.897330595482529</v>
          </cell>
          <cell r="H165" t="str">
            <v>Male</v>
          </cell>
          <cell r="I165" t="str">
            <v>ไม่สูบ</v>
          </cell>
          <cell r="J165">
            <v>150</v>
          </cell>
          <cell r="K165">
            <v>162.5</v>
          </cell>
          <cell r="L165">
            <v>113.1</v>
          </cell>
          <cell r="M165">
            <v>42.830769230769235</v>
          </cell>
          <cell r="N165">
            <v>132</v>
          </cell>
          <cell r="O165" t="str">
            <v>โรคเบาหวาน</v>
          </cell>
          <cell r="P165">
            <v>118</v>
          </cell>
          <cell r="Q165">
            <v>171</v>
          </cell>
          <cell r="R165">
            <v>1</v>
          </cell>
          <cell r="S165">
            <v>0</v>
          </cell>
          <cell r="T165">
            <v>1</v>
          </cell>
          <cell r="U165">
            <v>8.0117085626283355</v>
          </cell>
          <cell r="V165">
            <v>9.0508124830215859</v>
          </cell>
          <cell r="W165" t="str">
            <v>ความเสี่ยงต่ำ</v>
          </cell>
        </row>
        <row r="166">
          <cell r="A166">
            <v>640099</v>
          </cell>
          <cell r="B166" t="str">
            <v>นาย</v>
          </cell>
          <cell r="C166" t="str">
            <v>ธรรมสรณ์</v>
          </cell>
          <cell r="D166" t="str">
            <v>โรจนนิรันดร์กิจ</v>
          </cell>
          <cell r="E166" t="str">
            <v>บง.วบก.</v>
          </cell>
          <cell r="F166" t="str">
            <v>Maintenance</v>
          </cell>
          <cell r="G166">
            <v>27.26351813826146</v>
          </cell>
          <cell r="H166" t="str">
            <v>Male</v>
          </cell>
          <cell r="I166" t="str">
            <v>สูบ 3 มวนต่อวัน</v>
          </cell>
          <cell r="J166">
            <v>117</v>
          </cell>
          <cell r="K166">
            <v>179.5</v>
          </cell>
          <cell r="L166">
            <v>83.4</v>
          </cell>
          <cell r="M166">
            <v>25.88434292098913</v>
          </cell>
          <cell r="N166">
            <v>94</v>
          </cell>
          <cell r="O166" t="str">
            <v>ไม่มี</v>
          </cell>
          <cell r="P166">
            <v>84</v>
          </cell>
          <cell r="Q166">
            <v>189</v>
          </cell>
          <cell r="R166">
            <v>1</v>
          </cell>
          <cell r="S166">
            <v>1</v>
          </cell>
          <cell r="T166">
            <v>0</v>
          </cell>
          <cell r="U166">
            <v>5.8840836892539352</v>
          </cell>
          <cell r="V166">
            <v>1.1237195414617429</v>
          </cell>
          <cell r="W166" t="str">
            <v>ความเสี่ยงต่ำ</v>
          </cell>
        </row>
        <row r="167">
          <cell r="A167">
            <v>490119</v>
          </cell>
          <cell r="B167" t="str">
            <v>นาย</v>
          </cell>
          <cell r="C167" t="str">
            <v>สุทธิกิจ</v>
          </cell>
          <cell r="D167" t="str">
            <v>ตันสุคตานนท์</v>
          </cell>
          <cell r="E167" t="str">
            <v>ซญ.วบก.</v>
          </cell>
          <cell r="F167" t="str">
            <v>Maintenance</v>
          </cell>
          <cell r="G167">
            <v>41.089664613278572</v>
          </cell>
          <cell r="H167" t="str">
            <v>Male</v>
          </cell>
          <cell r="I167" t="str">
            <v>ไม่สูบ</v>
          </cell>
          <cell r="J167">
            <v>108</v>
          </cell>
          <cell r="K167">
            <v>160</v>
          </cell>
          <cell r="L167">
            <v>68.599999999999994</v>
          </cell>
          <cell r="M167">
            <v>26.796875</v>
          </cell>
          <cell r="N167">
            <v>90</v>
          </cell>
          <cell r="O167" t="str">
            <v>โรคเก๊าท์</v>
          </cell>
          <cell r="P167">
            <v>83</v>
          </cell>
          <cell r="Q167">
            <v>288</v>
          </cell>
          <cell r="R167">
            <v>1</v>
          </cell>
          <cell r="S167">
            <v>0</v>
          </cell>
          <cell r="T167">
            <v>0</v>
          </cell>
          <cell r="U167">
            <v>6.618637255304586</v>
          </cell>
          <cell r="V167">
            <v>2.3281813260715989</v>
          </cell>
          <cell r="W167" t="str">
            <v>ความเสี่ยงต่ำ</v>
          </cell>
        </row>
        <row r="168">
          <cell r="A168">
            <v>490046</v>
          </cell>
          <cell r="B168" t="str">
            <v>นาย</v>
          </cell>
          <cell r="C168" t="str">
            <v>กฤษญานนท์</v>
          </cell>
          <cell r="D168" t="str">
            <v>คำวิชัย</v>
          </cell>
          <cell r="E168" t="str">
            <v>บฟ.วบก.</v>
          </cell>
          <cell r="F168" t="str">
            <v>Maintenance</v>
          </cell>
          <cell r="G168">
            <v>42.776180698151933</v>
          </cell>
          <cell r="H168" t="str">
            <v>Male</v>
          </cell>
          <cell r="I168" t="str">
            <v>ไม่สูบ</v>
          </cell>
          <cell r="J168">
            <v>139</v>
          </cell>
          <cell r="K168">
            <v>185.5</v>
          </cell>
          <cell r="L168">
            <v>151.5</v>
          </cell>
          <cell r="M168">
            <v>44.027578991724852</v>
          </cell>
          <cell r="N168">
            <v>139</v>
          </cell>
          <cell r="O168" t="str">
            <v>โรคความดันโลหิตสูง โรคเบาหวาน</v>
          </cell>
          <cell r="P168">
            <v>120</v>
          </cell>
          <cell r="Q168">
            <v>144</v>
          </cell>
          <cell r="R168">
            <v>1</v>
          </cell>
          <cell r="S168">
            <v>0</v>
          </cell>
          <cell r="T168">
            <v>1</v>
          </cell>
          <cell r="U168">
            <v>7.7971448665297727</v>
          </cell>
          <cell r="V168">
            <v>7.3692794790531702</v>
          </cell>
          <cell r="W168" t="str">
            <v>ความเสี่ยงต่ำ</v>
          </cell>
        </row>
        <row r="169">
          <cell r="A169">
            <v>580257</v>
          </cell>
          <cell r="B169" t="str">
            <v>นาย</v>
          </cell>
          <cell r="C169" t="str">
            <v>มนูศักดิ์</v>
          </cell>
          <cell r="D169" t="str">
            <v>ณ นคร</v>
          </cell>
          <cell r="E169" t="str">
            <v>คผ.D ปผ.</v>
          </cell>
          <cell r="F169" t="str">
            <v>Operation</v>
          </cell>
          <cell r="G169">
            <v>31.460643394934962</v>
          </cell>
          <cell r="H169" t="str">
            <v>Male</v>
          </cell>
          <cell r="I169" t="str">
            <v>ไม่สูบ</v>
          </cell>
          <cell r="J169">
            <v>136</v>
          </cell>
          <cell r="K169">
            <v>175</v>
          </cell>
          <cell r="L169">
            <v>80.400000000000006</v>
          </cell>
          <cell r="M169">
            <v>26.253061224489795</v>
          </cell>
          <cell r="N169">
            <v>85</v>
          </cell>
          <cell r="O169" t="str">
            <v>ไม่มี</v>
          </cell>
          <cell r="P169">
            <v>84</v>
          </cell>
          <cell r="Q169">
            <v>216</v>
          </cell>
          <cell r="R169">
            <v>1</v>
          </cell>
          <cell r="S169">
            <v>0</v>
          </cell>
          <cell r="T169">
            <v>0</v>
          </cell>
          <cell r="U169">
            <v>6.2615744490075276</v>
          </cell>
          <cell r="V169">
            <v>1.6348475743907409</v>
          </cell>
          <cell r="W169" t="str">
            <v>ความเสี่ยงต่ำ</v>
          </cell>
        </row>
        <row r="170">
          <cell r="A170">
            <v>490223</v>
          </cell>
          <cell r="B170" t="str">
            <v>นาย</v>
          </cell>
          <cell r="C170" t="str">
            <v>สิทธิชัย</v>
          </cell>
          <cell r="D170" t="str">
            <v>รัตนพันธุ์จักร์</v>
          </cell>
          <cell r="E170" t="str">
            <v>ผ.ปก.C ปก.</v>
          </cell>
          <cell r="F170" t="str">
            <v>Operation</v>
          </cell>
          <cell r="G170">
            <v>44.268309377138941</v>
          </cell>
          <cell r="H170" t="str">
            <v>Male</v>
          </cell>
          <cell r="I170" t="str">
            <v>ไม่สูบ</v>
          </cell>
          <cell r="J170">
            <v>135</v>
          </cell>
          <cell r="K170">
            <v>164</v>
          </cell>
          <cell r="L170">
            <v>67</v>
          </cell>
          <cell r="M170">
            <v>24.910767400356928</v>
          </cell>
          <cell r="N170">
            <v>83</v>
          </cell>
          <cell r="O170" t="str">
            <v>ไม่มี</v>
          </cell>
          <cell r="P170">
            <v>86</v>
          </cell>
          <cell r="Q170">
            <v>193</v>
          </cell>
          <cell r="R170">
            <v>1</v>
          </cell>
          <cell r="S170">
            <v>0</v>
          </cell>
          <cell r="T170">
            <v>0</v>
          </cell>
          <cell r="U170">
            <v>7.2400257563312795</v>
          </cell>
          <cell r="V170">
            <v>4.2904239930934391</v>
          </cell>
          <cell r="W170" t="str">
            <v>ความเสี่ยงต่ำ</v>
          </cell>
        </row>
        <row r="171">
          <cell r="A171">
            <v>490037</v>
          </cell>
          <cell r="B171" t="str">
            <v>นาย</v>
          </cell>
          <cell r="C171" t="str">
            <v>วิธาน</v>
          </cell>
          <cell r="D171" t="str">
            <v>สีเสม</v>
          </cell>
          <cell r="E171" t="str">
            <v>คผ.A ปผ.</v>
          </cell>
          <cell r="F171" t="str">
            <v>Operation</v>
          </cell>
          <cell r="G171">
            <v>40.63518138261464</v>
          </cell>
          <cell r="H171" t="str">
            <v>Male</v>
          </cell>
          <cell r="I171" t="str">
            <v>ไม่ระบุ</v>
          </cell>
          <cell r="J171">
            <v>121</v>
          </cell>
          <cell r="K171">
            <v>171.5</v>
          </cell>
          <cell r="L171">
            <v>90.1</v>
          </cell>
          <cell r="M171">
            <v>30.633494547339968</v>
          </cell>
          <cell r="N171">
            <v>100</v>
          </cell>
          <cell r="O171" t="str">
            <v>ไม่มี</v>
          </cell>
          <cell r="P171">
            <v>97</v>
          </cell>
          <cell r="Q171">
            <v>231</v>
          </cell>
          <cell r="R171">
            <v>1</v>
          </cell>
          <cell r="S171">
            <v>1</v>
          </cell>
          <cell r="T171">
            <v>0</v>
          </cell>
          <cell r="U171">
            <v>7.1506868925393565</v>
          </cell>
          <cell r="V171">
            <v>3.9310535624341947</v>
          </cell>
          <cell r="W171" t="str">
            <v>ความเสี่ยงต่ำ</v>
          </cell>
        </row>
        <row r="172">
          <cell r="A172">
            <v>670121</v>
          </cell>
          <cell r="B172" t="str">
            <v>นางสาว</v>
          </cell>
          <cell r="C172" t="str">
            <v>ไอริณ</v>
          </cell>
          <cell r="D172" t="str">
            <v>อัจนารมย์วาท</v>
          </cell>
          <cell r="E172" t="str">
            <v>ผ.จด.พย.</v>
          </cell>
          <cell r="F172" t="str">
            <v>Support</v>
          </cell>
          <cell r="G172">
            <v>25.875427789185483</v>
          </cell>
          <cell r="H172" t="str">
            <v>Female</v>
          </cell>
          <cell r="I172" t="str">
            <v>ไม่สูบ</v>
          </cell>
          <cell r="J172">
            <v>115</v>
          </cell>
          <cell r="K172">
            <v>157</v>
          </cell>
          <cell r="L172">
            <v>48.1</v>
          </cell>
          <cell r="M172">
            <v>19.513976226216073</v>
          </cell>
          <cell r="N172">
            <v>71</v>
          </cell>
          <cell r="O172" t="str">
            <v>ไม่มี</v>
          </cell>
          <cell r="P172">
            <v>79</v>
          </cell>
          <cell r="Q172">
            <v>203</v>
          </cell>
          <cell r="R172">
            <v>0</v>
          </cell>
          <cell r="S172">
            <v>0</v>
          </cell>
          <cell r="T172">
            <v>0</v>
          </cell>
          <cell r="U172">
            <v>4.9443462559890481</v>
          </cell>
          <cell r="V172">
            <v>0.440583576697684</v>
          </cell>
          <cell r="W172" t="str">
            <v>ความเสี่ยงต่ำ</v>
          </cell>
        </row>
        <row r="173">
          <cell r="A173">
            <v>480163</v>
          </cell>
          <cell r="B173" t="str">
            <v>นาย</v>
          </cell>
          <cell r="C173" t="str">
            <v>สมยศ</v>
          </cell>
          <cell r="D173" t="str">
            <v>เทียนชัย</v>
          </cell>
          <cell r="E173" t="str">
            <v>คผ.D ปล.</v>
          </cell>
          <cell r="F173" t="str">
            <v>Operation</v>
          </cell>
          <cell r="G173">
            <v>40.774811772758383</v>
          </cell>
          <cell r="H173" t="str">
            <v>Male</v>
          </cell>
          <cell r="I173" t="str">
            <v>ไม่สูบ</v>
          </cell>
          <cell r="J173">
            <v>110</v>
          </cell>
          <cell r="K173">
            <v>150.5</v>
          </cell>
          <cell r="L173">
            <v>55.5</v>
          </cell>
          <cell r="M173">
            <v>24.503040805289125</v>
          </cell>
          <cell r="N173">
            <v>74</v>
          </cell>
          <cell r="O173" t="str">
            <v>ไม่มี</v>
          </cell>
          <cell r="P173">
            <v>95</v>
          </cell>
          <cell r="Q173">
            <v>223</v>
          </cell>
          <cell r="R173">
            <v>1</v>
          </cell>
          <cell r="S173">
            <v>0</v>
          </cell>
          <cell r="T173">
            <v>0</v>
          </cell>
          <cell r="U173">
            <v>6.4967528473648182</v>
          </cell>
          <cell r="V173">
            <v>2.0638013285693924</v>
          </cell>
          <cell r="W173" t="str">
            <v>ความเสี่ยงต่ำ</v>
          </cell>
        </row>
        <row r="174">
          <cell r="A174">
            <v>550141</v>
          </cell>
          <cell r="B174" t="str">
            <v>นาย</v>
          </cell>
          <cell r="C174" t="str">
            <v>ทศพร</v>
          </cell>
          <cell r="D174" t="str">
            <v>ปลัดใจ</v>
          </cell>
          <cell r="E174" t="str">
            <v>ผ.ปก.C คธ.</v>
          </cell>
          <cell r="F174" t="str">
            <v>Operation</v>
          </cell>
          <cell r="G174">
            <v>35.145790554414788</v>
          </cell>
          <cell r="H174" t="str">
            <v>Male</v>
          </cell>
          <cell r="I174" t="str">
            <v>ไม่สูบ</v>
          </cell>
          <cell r="J174">
            <v>125</v>
          </cell>
          <cell r="K174">
            <v>177</v>
          </cell>
          <cell r="L174">
            <v>86.1</v>
          </cell>
          <cell r="M174">
            <v>27.482524178875799</v>
          </cell>
          <cell r="N174">
            <v>104</v>
          </cell>
          <cell r="O174" t="str">
            <v>ไม่มี</v>
          </cell>
          <cell r="P174">
            <v>86</v>
          </cell>
          <cell r="Q174">
            <v>263</v>
          </cell>
          <cell r="R174">
            <v>1</v>
          </cell>
          <cell r="S174">
            <v>0</v>
          </cell>
          <cell r="T174">
            <v>0</v>
          </cell>
          <cell r="U174">
            <v>6.4335300410677618</v>
          </cell>
          <cell r="V174">
            <v>1.9385949245154022</v>
          </cell>
          <cell r="W174" t="str">
            <v>ความเสี่ยงต่ำ</v>
          </cell>
        </row>
        <row r="175">
          <cell r="A175">
            <v>540322</v>
          </cell>
          <cell r="B175" t="str">
            <v>นางสาว</v>
          </cell>
          <cell r="C175" t="str">
            <v>ณัฐกานต์</v>
          </cell>
          <cell r="D175" t="str">
            <v>อำภารักษ์</v>
          </cell>
          <cell r="E175" t="str">
            <v>คพ.ทผก.</v>
          </cell>
          <cell r="F175" t="str">
            <v>Support</v>
          </cell>
          <cell r="G175">
            <v>40.11225188227241</v>
          </cell>
          <cell r="H175" t="str">
            <v>Female</v>
          </cell>
          <cell r="I175" t="str">
            <v>ไม่สูบ</v>
          </cell>
          <cell r="J175">
            <v>119</v>
          </cell>
          <cell r="K175">
            <v>151</v>
          </cell>
          <cell r="L175">
            <v>64.7</v>
          </cell>
          <cell r="M175">
            <v>28.375948423314764</v>
          </cell>
          <cell r="N175">
            <v>86</v>
          </cell>
          <cell r="O175" t="str">
            <v>โรคภูมิแพ้</v>
          </cell>
          <cell r="P175">
            <v>92</v>
          </cell>
          <cell r="Q175">
            <v>169</v>
          </cell>
          <cell r="R175">
            <v>0</v>
          </cell>
          <cell r="S175">
            <v>0</v>
          </cell>
          <cell r="T175">
            <v>0</v>
          </cell>
          <cell r="U175">
            <v>6.1206255715263511</v>
          </cell>
          <cell r="V175">
            <v>1.421455622435952</v>
          </cell>
          <cell r="W175" t="str">
            <v>ความเสี่ยงต่ำ</v>
          </cell>
        </row>
        <row r="176">
          <cell r="A176">
            <v>480216</v>
          </cell>
          <cell r="B176" t="str">
            <v>นาย</v>
          </cell>
          <cell r="C176" t="str">
            <v>วิทูร</v>
          </cell>
          <cell r="D176" t="str">
            <v>วิงกระโทก</v>
          </cell>
          <cell r="E176" t="str">
            <v>คผ.D ปต.</v>
          </cell>
          <cell r="F176" t="str">
            <v>Operation</v>
          </cell>
          <cell r="G176">
            <v>42.395619438740574</v>
          </cell>
          <cell r="H176" t="str">
            <v>Male</v>
          </cell>
          <cell r="I176" t="str">
            <v>สูบ 10 มวนต่อวัน</v>
          </cell>
          <cell r="J176">
            <v>130</v>
          </cell>
          <cell r="K176">
            <v>172.5</v>
          </cell>
          <cell r="L176">
            <v>86.2</v>
          </cell>
          <cell r="M176">
            <v>28.968704053770217</v>
          </cell>
          <cell r="N176">
            <v>102</v>
          </cell>
          <cell r="O176" t="str">
            <v>ไม่มี</v>
          </cell>
          <cell r="P176">
            <v>93</v>
          </cell>
          <cell r="Q176">
            <v>202</v>
          </cell>
          <cell r="R176">
            <v>1</v>
          </cell>
          <cell r="S176">
            <v>1</v>
          </cell>
          <cell r="T176">
            <v>0</v>
          </cell>
          <cell r="U176">
            <v>7.4208235386721411</v>
          </cell>
          <cell r="V176">
            <v>5.1185598705130957</v>
          </cell>
          <cell r="W176" t="str">
            <v>ความเสี่ยงต่ำ</v>
          </cell>
        </row>
        <row r="177">
          <cell r="A177">
            <v>480027</v>
          </cell>
          <cell r="B177" t="str">
            <v>นาย</v>
          </cell>
          <cell r="C177" t="str">
            <v>ชลอ</v>
          </cell>
          <cell r="D177" t="str">
            <v>บริบูรณ์</v>
          </cell>
          <cell r="E177" t="str">
            <v>คผ.B ปผ.</v>
          </cell>
          <cell r="F177" t="str">
            <v>Operation</v>
          </cell>
          <cell r="G177">
            <v>43.624914442162897</v>
          </cell>
          <cell r="H177" t="str">
            <v>Male</v>
          </cell>
          <cell r="I177" t="str">
            <v>ไม่สูบ</v>
          </cell>
          <cell r="J177">
            <v>121</v>
          </cell>
          <cell r="K177">
            <v>173.5</v>
          </cell>
          <cell r="L177">
            <v>75.599999999999994</v>
          </cell>
          <cell r="M177">
            <v>25.114401747377684</v>
          </cell>
          <cell r="N177">
            <v>93</v>
          </cell>
          <cell r="O177" t="str">
            <v>ไม่มี</v>
          </cell>
          <cell r="P177">
            <v>92</v>
          </cell>
          <cell r="Q177">
            <v>190</v>
          </cell>
          <cell r="R177">
            <v>1</v>
          </cell>
          <cell r="S177">
            <v>0</v>
          </cell>
          <cell r="T177">
            <v>0</v>
          </cell>
          <cell r="U177">
            <v>6.8892567488021905</v>
          </cell>
          <cell r="V177">
            <v>3.0406247939131381</v>
          </cell>
          <cell r="W177" t="str">
            <v>ความเสี่ยงต่ำ</v>
          </cell>
        </row>
        <row r="178">
          <cell r="A178">
            <v>650137</v>
          </cell>
          <cell r="B178" t="str">
            <v>นาย</v>
          </cell>
          <cell r="C178" t="str">
            <v>โชคพิสิฐ</v>
          </cell>
          <cell r="D178" t="str">
            <v>ปิติเฉลิมโรจน์</v>
          </cell>
          <cell r="E178" t="str">
            <v>คพ.ทผก.</v>
          </cell>
          <cell r="F178" t="str">
            <v>Support</v>
          </cell>
          <cell r="G178">
            <v>25.738535249828878</v>
          </cell>
          <cell r="H178" t="str">
            <v>Male</v>
          </cell>
          <cell r="I178" t="str">
            <v>ไม่สูบ</v>
          </cell>
          <cell r="J178">
            <v>108</v>
          </cell>
          <cell r="K178">
            <v>177.5</v>
          </cell>
          <cell r="L178">
            <v>78.7</v>
          </cell>
          <cell r="M178">
            <v>24.979170799444557</v>
          </cell>
          <cell r="N178">
            <v>90</v>
          </cell>
          <cell r="O178" t="str">
            <v>ไม่มี</v>
          </cell>
          <cell r="P178">
            <v>95</v>
          </cell>
          <cell r="Q178">
            <v>211</v>
          </cell>
          <cell r="R178">
            <v>1</v>
          </cell>
          <cell r="S178">
            <v>0</v>
          </cell>
          <cell r="T178">
            <v>0</v>
          </cell>
          <cell r="U178">
            <v>5.1992143394934978</v>
          </cell>
          <cell r="V178">
            <v>0.56811728292593955</v>
          </cell>
          <cell r="W178" t="str">
            <v>ความเสี่ยงต่ำ</v>
          </cell>
        </row>
        <row r="179">
          <cell r="A179">
            <v>530028</v>
          </cell>
          <cell r="B179" t="str">
            <v>นาย</v>
          </cell>
          <cell r="C179" t="str">
            <v>ณัชพล</v>
          </cell>
          <cell r="D179" t="str">
            <v>ภู่ถาวร</v>
          </cell>
          <cell r="E179" t="str">
            <v>ผ.ปก.B คธ.</v>
          </cell>
          <cell r="F179" t="str">
            <v>Operation</v>
          </cell>
          <cell r="G179">
            <v>40.662559890485952</v>
          </cell>
          <cell r="H179" t="str">
            <v>Male</v>
          </cell>
          <cell r="I179" t="str">
            <v>สูบ 10 มวนต่อวัน</v>
          </cell>
          <cell r="J179">
            <v>117</v>
          </cell>
          <cell r="K179">
            <v>176</v>
          </cell>
          <cell r="L179">
            <v>96.4</v>
          </cell>
          <cell r="M179">
            <v>31.120867768595041</v>
          </cell>
          <cell r="N179">
            <v>104</v>
          </cell>
          <cell r="O179" t="str">
            <v>โรคซึมเศร้า</v>
          </cell>
          <cell r="P179">
            <v>95</v>
          </cell>
          <cell r="Q179">
            <v>277</v>
          </cell>
          <cell r="R179">
            <v>1</v>
          </cell>
          <cell r="S179">
            <v>1</v>
          </cell>
          <cell r="T179">
            <v>0</v>
          </cell>
          <cell r="U179">
            <v>7.1670872758384654</v>
          </cell>
          <cell r="V179">
            <v>3.9947400860419036</v>
          </cell>
          <cell r="W179" t="str">
            <v>ความเสี่ยงต่ำ</v>
          </cell>
        </row>
        <row r="180">
          <cell r="A180">
            <v>520096</v>
          </cell>
          <cell r="B180" t="str">
            <v>นาย</v>
          </cell>
          <cell r="C180" t="str">
            <v>ธนพนธ์</v>
          </cell>
          <cell r="D180" t="str">
            <v>สุขเทศ</v>
          </cell>
          <cell r="E180" t="str">
            <v>คผ.A ปผ.</v>
          </cell>
          <cell r="F180" t="str">
            <v>Operation</v>
          </cell>
          <cell r="G180">
            <v>38.494182067077332</v>
          </cell>
          <cell r="H180" t="str">
            <v>Male</v>
          </cell>
          <cell r="I180" t="str">
            <v>ไม่สูบ</v>
          </cell>
          <cell r="J180">
            <v>116</v>
          </cell>
          <cell r="K180">
            <v>174</v>
          </cell>
          <cell r="L180">
            <v>81</v>
          </cell>
          <cell r="M180">
            <v>26.753864447086801</v>
          </cell>
          <cell r="N180">
            <v>89</v>
          </cell>
          <cell r="O180" t="str">
            <v>ไม่มี</v>
          </cell>
          <cell r="P180">
            <v>97</v>
          </cell>
          <cell r="Q180">
            <v>183</v>
          </cell>
          <cell r="R180">
            <v>1</v>
          </cell>
          <cell r="S180">
            <v>0</v>
          </cell>
          <cell r="T180">
            <v>0</v>
          </cell>
          <cell r="U180">
            <v>6.3503689185489378</v>
          </cell>
          <cell r="V180">
            <v>1.7852901353698658</v>
          </cell>
          <cell r="W180" t="str">
            <v>ความเสี่ยงต่ำ</v>
          </cell>
        </row>
        <row r="181">
          <cell r="A181">
            <v>670062</v>
          </cell>
          <cell r="B181" t="str">
            <v>นาย</v>
          </cell>
          <cell r="C181" t="str">
            <v>ศตวรรษ</v>
          </cell>
          <cell r="D181" t="str">
            <v>เป็งน้อย</v>
          </cell>
          <cell r="E181" t="str">
            <v>บค.วบก.</v>
          </cell>
          <cell r="F181" t="str">
            <v>Maintenance</v>
          </cell>
          <cell r="G181">
            <v>29.023956194387402</v>
          </cell>
          <cell r="H181" t="str">
            <v>Male</v>
          </cell>
          <cell r="I181" t="str">
            <v>ไม่สูบ</v>
          </cell>
          <cell r="J181">
            <v>118</v>
          </cell>
          <cell r="K181">
            <v>178</v>
          </cell>
          <cell r="L181">
            <v>64.099999999999994</v>
          </cell>
          <cell r="M181">
            <v>20.231031435424818</v>
          </cell>
          <cell r="N181">
            <v>67</v>
          </cell>
          <cell r="O181" t="str">
            <v>ไม่มี</v>
          </cell>
          <cell r="P181">
            <v>94</v>
          </cell>
          <cell r="Q181">
            <v>179</v>
          </cell>
          <cell r="R181">
            <v>1</v>
          </cell>
          <cell r="S181">
            <v>0</v>
          </cell>
          <cell r="T181">
            <v>0</v>
          </cell>
          <cell r="U181">
            <v>5.6086203353867212</v>
          </cell>
          <cell r="V181">
            <v>0.85431021415803832</v>
          </cell>
          <cell r="W181" t="str">
            <v>ความเสี่ยงต่ำ</v>
          </cell>
        </row>
        <row r="182">
          <cell r="A182">
            <v>580242</v>
          </cell>
          <cell r="B182" t="str">
            <v>นาย</v>
          </cell>
          <cell r="C182" t="str">
            <v>ธัญญะ</v>
          </cell>
          <cell r="D182" t="str">
            <v>จักรวาฬนรสิงห์</v>
          </cell>
          <cell r="E182" t="str">
            <v>วผ.ทผก.</v>
          </cell>
          <cell r="F182" t="str">
            <v>Support</v>
          </cell>
          <cell r="G182">
            <v>34.631074606433948</v>
          </cell>
          <cell r="H182" t="str">
            <v>Male</v>
          </cell>
          <cell r="I182" t="str">
            <v>ไม่สูบ</v>
          </cell>
          <cell r="J182">
            <v>129</v>
          </cell>
          <cell r="K182">
            <v>174</v>
          </cell>
          <cell r="L182">
            <v>70.8</v>
          </cell>
          <cell r="M182">
            <v>23.384859294490685</v>
          </cell>
          <cell r="N182">
            <v>79</v>
          </cell>
          <cell r="O182" t="str">
            <v>ไม่มี</v>
          </cell>
          <cell r="P182">
            <v>86</v>
          </cell>
          <cell r="Q182">
            <v>184</v>
          </cell>
          <cell r="R182">
            <v>1</v>
          </cell>
          <cell r="S182">
            <v>0</v>
          </cell>
          <cell r="T182">
            <v>0</v>
          </cell>
          <cell r="U182">
            <v>6.3072908350444905</v>
          </cell>
          <cell r="V182">
            <v>1.7106638523037732</v>
          </cell>
          <cell r="W182" t="str">
            <v>ความเสี่ยงต่ำ</v>
          </cell>
        </row>
        <row r="183">
          <cell r="A183">
            <v>360066</v>
          </cell>
          <cell r="B183" t="str">
            <v>นาย</v>
          </cell>
          <cell r="C183" t="str">
            <v>วิสุทธิ์</v>
          </cell>
          <cell r="D183" t="str">
            <v>หนูงาม</v>
          </cell>
          <cell r="E183" t="str">
            <v>บรก.</v>
          </cell>
          <cell r="F183" t="str">
            <v>Support</v>
          </cell>
          <cell r="G183">
            <v>54.510609171800134</v>
          </cell>
          <cell r="H183" t="str">
            <v>Male</v>
          </cell>
          <cell r="I183" t="str">
            <v>ไม่สูบ</v>
          </cell>
          <cell r="J183">
            <v>108</v>
          </cell>
          <cell r="K183">
            <v>170</v>
          </cell>
          <cell r="L183">
            <v>64.7</v>
          </cell>
          <cell r="M183">
            <v>22.387543252595158</v>
          </cell>
          <cell r="N183">
            <v>80</v>
          </cell>
          <cell r="O183" t="str">
            <v>ไม่มี</v>
          </cell>
          <cell r="P183">
            <v>82</v>
          </cell>
          <cell r="Q183">
            <v>228</v>
          </cell>
          <cell r="R183">
            <v>1</v>
          </cell>
          <cell r="S183">
            <v>0</v>
          </cell>
          <cell r="T183">
            <v>0</v>
          </cell>
          <cell r="U183">
            <v>7.589673148528405</v>
          </cell>
          <cell r="V183">
            <v>6.0311432805137288</v>
          </cell>
          <cell r="W183" t="str">
            <v>ความเสี่ยงต่ำ</v>
          </cell>
        </row>
        <row r="184">
          <cell r="A184">
            <v>490053</v>
          </cell>
          <cell r="B184" t="str">
            <v>นาย</v>
          </cell>
          <cell r="C184" t="str">
            <v>ผดุงเดช</v>
          </cell>
          <cell r="D184" t="str">
            <v>สุขสุวรรณ</v>
          </cell>
          <cell r="E184" t="str">
            <v>คผ.C ปล.</v>
          </cell>
          <cell r="F184" t="str">
            <v>Operation</v>
          </cell>
          <cell r="G184">
            <v>41.297741273100613</v>
          </cell>
          <cell r="H184" t="str">
            <v>Male</v>
          </cell>
          <cell r="I184" t="str">
            <v>ไม่สูบ</v>
          </cell>
          <cell r="J184">
            <v>117</v>
          </cell>
          <cell r="K184">
            <v>174.5</v>
          </cell>
          <cell r="L184">
            <v>82.5</v>
          </cell>
          <cell r="M184">
            <v>27.093373617622184</v>
          </cell>
          <cell r="N184">
            <v>94</v>
          </cell>
          <cell r="O184" t="str">
            <v>ไม่มี</v>
          </cell>
          <cell r="P184">
            <v>98</v>
          </cell>
          <cell r="Q184">
            <v>271</v>
          </cell>
          <cell r="R184">
            <v>1</v>
          </cell>
          <cell r="S184">
            <v>0</v>
          </cell>
          <cell r="T184">
            <v>0</v>
          </cell>
          <cell r="U184">
            <v>6.7871841683778236</v>
          </cell>
          <cell r="V184">
            <v>2.7496709397131114</v>
          </cell>
          <cell r="W184" t="str">
            <v>ความเสี่ยงต่ำ</v>
          </cell>
        </row>
        <row r="185">
          <cell r="A185">
            <v>600223</v>
          </cell>
          <cell r="B185" t="str">
            <v>นาย</v>
          </cell>
          <cell r="C185" t="str">
            <v>ศิริพงษ์</v>
          </cell>
          <cell r="D185" t="str">
            <v>สุวรรณสมบัติ</v>
          </cell>
          <cell r="E185" t="str">
            <v>บฟ.วบก.</v>
          </cell>
          <cell r="F185" t="str">
            <v>Maintenance</v>
          </cell>
          <cell r="G185">
            <v>34.869267624914436</v>
          </cell>
          <cell r="H185" t="str">
            <v>Male</v>
          </cell>
          <cell r="I185" t="str">
            <v>ไม่สูบ</v>
          </cell>
          <cell r="J185">
            <v>115</v>
          </cell>
          <cell r="K185">
            <v>159.5</v>
          </cell>
          <cell r="L185">
            <v>64.099999999999994</v>
          </cell>
          <cell r="M185">
            <v>25.196293275419858</v>
          </cell>
          <cell r="N185">
            <v>79</v>
          </cell>
          <cell r="O185" t="str">
            <v>ไม่มี</v>
          </cell>
          <cell r="P185">
            <v>91</v>
          </cell>
          <cell r="Q185">
            <v>251</v>
          </cell>
          <cell r="R185">
            <v>1</v>
          </cell>
          <cell r="S185">
            <v>0</v>
          </cell>
          <cell r="T185">
            <v>0</v>
          </cell>
          <cell r="U185">
            <v>6.1770621697467485</v>
          </cell>
          <cell r="V185">
            <v>1.503361266314629</v>
          </cell>
          <cell r="W185" t="str">
            <v>ความเสี่ยงต่ำ</v>
          </cell>
        </row>
        <row r="186">
          <cell r="A186">
            <v>540201</v>
          </cell>
          <cell r="B186" t="str">
            <v>นาย</v>
          </cell>
          <cell r="C186" t="str">
            <v>ชินวัตร</v>
          </cell>
          <cell r="D186" t="str">
            <v>กังวาลสิงหนาท</v>
          </cell>
          <cell r="E186" t="str">
            <v>คผ.B ปต.</v>
          </cell>
          <cell r="F186" t="str">
            <v>Operation</v>
          </cell>
          <cell r="G186">
            <v>39.783709787816562</v>
          </cell>
          <cell r="H186" t="str">
            <v>Male</v>
          </cell>
          <cell r="I186" t="str">
            <v>ไม่สูบ</v>
          </cell>
          <cell r="J186">
            <v>121</v>
          </cell>
          <cell r="K186">
            <v>165</v>
          </cell>
          <cell r="L186">
            <v>72.400000000000006</v>
          </cell>
          <cell r="M186">
            <v>26.593204775022954</v>
          </cell>
          <cell r="N186">
            <v>87</v>
          </cell>
          <cell r="O186" t="str">
            <v>ไม่มี</v>
          </cell>
          <cell r="P186">
            <v>91</v>
          </cell>
          <cell r="Q186">
            <v>208</v>
          </cell>
          <cell r="R186">
            <v>1</v>
          </cell>
          <cell r="S186">
            <v>0</v>
          </cell>
          <cell r="T186">
            <v>0</v>
          </cell>
          <cell r="U186">
            <v>6.6130909719370292</v>
          </cell>
          <cell r="V186">
            <v>2.3154545635329482</v>
          </cell>
          <cell r="W186" t="str">
            <v>ความเสี่ยงต่ำ</v>
          </cell>
        </row>
        <row r="187">
          <cell r="A187">
            <v>490034</v>
          </cell>
          <cell r="B187" t="str">
            <v>นาย</v>
          </cell>
          <cell r="C187" t="str">
            <v>ธานี</v>
          </cell>
          <cell r="D187" t="str">
            <v>ปิ่นยกูล</v>
          </cell>
          <cell r="E187" t="str">
            <v>คผ.B ปต.</v>
          </cell>
          <cell r="F187" t="str">
            <v>Operation</v>
          </cell>
          <cell r="G187">
            <v>41.30047912388774</v>
          </cell>
          <cell r="H187" t="str">
            <v>Male</v>
          </cell>
          <cell r="I187" t="str">
            <v>ไม่สูบ</v>
          </cell>
          <cell r="J187">
            <v>136</v>
          </cell>
          <cell r="K187">
            <v>178.5</v>
          </cell>
          <cell r="L187">
            <v>91.4</v>
          </cell>
          <cell r="M187">
            <v>28.685984197600607</v>
          </cell>
          <cell r="N187">
            <v>90</v>
          </cell>
          <cell r="O187" t="str">
            <v>ไม่มี</v>
          </cell>
          <cell r="P187">
            <v>94</v>
          </cell>
          <cell r="Q187">
            <v>231</v>
          </cell>
          <cell r="R187">
            <v>1</v>
          </cell>
          <cell r="S187">
            <v>0</v>
          </cell>
          <cell r="T187">
            <v>0</v>
          </cell>
          <cell r="U187">
            <v>7.0985682067077338</v>
          </cell>
          <cell r="V187">
            <v>3.7351966618315857</v>
          </cell>
          <cell r="W187" t="str">
            <v>ความเสี่ยงต่ำ</v>
          </cell>
        </row>
        <row r="188">
          <cell r="A188">
            <v>580264</v>
          </cell>
          <cell r="B188" t="str">
            <v>นาย</v>
          </cell>
          <cell r="C188" t="str">
            <v>กวิน</v>
          </cell>
          <cell r="D188" t="str">
            <v>ทองหลิ่ม</v>
          </cell>
          <cell r="E188" t="str">
            <v>บง.วบก.</v>
          </cell>
          <cell r="F188" t="str">
            <v>Maintenance</v>
          </cell>
          <cell r="G188">
            <v>34.926762491444201</v>
          </cell>
          <cell r="H188" t="str">
            <v>Male</v>
          </cell>
          <cell r="I188" t="str">
            <v>ไม่สูบ</v>
          </cell>
          <cell r="J188">
            <v>106</v>
          </cell>
          <cell r="K188">
            <v>177</v>
          </cell>
          <cell r="L188">
            <v>80.7</v>
          </cell>
          <cell r="M188">
            <v>25.758881547448052</v>
          </cell>
          <cell r="N188">
            <v>92</v>
          </cell>
          <cell r="O188" t="str">
            <v>ไม่มี</v>
          </cell>
          <cell r="P188">
            <v>80</v>
          </cell>
          <cell r="Q188">
            <v>259</v>
          </cell>
          <cell r="R188">
            <v>1</v>
          </cell>
          <cell r="S188">
            <v>0</v>
          </cell>
          <cell r="T188">
            <v>0</v>
          </cell>
          <cell r="U188">
            <v>6.0111669746748788</v>
          </cell>
          <cell r="V188">
            <v>1.2750218708092453</v>
          </cell>
          <cell r="W188" t="str">
            <v>ความเสี่ยงต่ำ</v>
          </cell>
        </row>
        <row r="189">
          <cell r="A189">
            <v>480226</v>
          </cell>
          <cell r="B189" t="str">
            <v>นาย</v>
          </cell>
          <cell r="C189" t="str">
            <v>รุ่งเรือง</v>
          </cell>
          <cell r="D189" t="str">
            <v>ศรีวิเศษ</v>
          </cell>
          <cell r="E189" t="str">
            <v>คผ.B ปผ.</v>
          </cell>
          <cell r="F189" t="str">
            <v>Operation</v>
          </cell>
          <cell r="G189">
            <v>44.076659822039673</v>
          </cell>
          <cell r="H189" t="str">
            <v>Male</v>
          </cell>
          <cell r="I189" t="str">
            <v>สูบ 10 มวนต่อวัน</v>
          </cell>
          <cell r="J189">
            <v>136</v>
          </cell>
          <cell r="K189">
            <v>165</v>
          </cell>
          <cell r="L189">
            <v>80</v>
          </cell>
          <cell r="M189">
            <v>29.38475665748393</v>
          </cell>
          <cell r="N189">
            <v>99</v>
          </cell>
          <cell r="O189" t="str">
            <v>ไม่มี</v>
          </cell>
          <cell r="P189">
            <v>92</v>
          </cell>
          <cell r="Q189">
            <v>263</v>
          </cell>
          <cell r="R189">
            <v>1</v>
          </cell>
          <cell r="S189">
            <v>1</v>
          </cell>
          <cell r="T189">
            <v>0</v>
          </cell>
          <cell r="U189">
            <v>7.8127430732375061</v>
          </cell>
          <cell r="V189">
            <v>7.4806836397952932</v>
          </cell>
          <cell r="W189" t="str">
            <v>ความเสี่ยงต่ำ</v>
          </cell>
        </row>
        <row r="190">
          <cell r="A190">
            <v>630043</v>
          </cell>
          <cell r="B190" t="str">
            <v>นาย</v>
          </cell>
          <cell r="C190" t="str">
            <v>ภูริณัฐ</v>
          </cell>
          <cell r="D190" t="str">
            <v>เอี่ยมสุวรรณ</v>
          </cell>
          <cell r="E190" t="str">
            <v>ปภ.ผยก.</v>
          </cell>
          <cell r="F190" t="str">
            <v>Support</v>
          </cell>
          <cell r="G190">
            <v>28.079397672826826</v>
          </cell>
          <cell r="H190" t="str">
            <v>Male</v>
          </cell>
          <cell r="I190" t="str">
            <v>ไม่สูบ</v>
          </cell>
          <cell r="J190">
            <v>128</v>
          </cell>
          <cell r="K190">
            <v>180</v>
          </cell>
          <cell r="L190">
            <v>64</v>
          </cell>
          <cell r="M190">
            <v>19.753086419753085</v>
          </cell>
          <cell r="N190">
            <v>72</v>
          </cell>
          <cell r="O190" t="str">
            <v>ไม่มี</v>
          </cell>
          <cell r="P190">
            <v>88</v>
          </cell>
          <cell r="Q190">
            <v>245</v>
          </cell>
          <cell r="R190">
            <v>1</v>
          </cell>
          <cell r="S190">
            <v>0</v>
          </cell>
          <cell r="T190">
            <v>0</v>
          </cell>
          <cell r="U190">
            <v>5.8796471115674196</v>
          </cell>
          <cell r="V190">
            <v>1.1187730461485912</v>
          </cell>
          <cell r="W190" t="str">
            <v>ความเสี่ยงต่ำ</v>
          </cell>
        </row>
        <row r="191">
          <cell r="A191">
            <v>660049</v>
          </cell>
          <cell r="B191" t="str">
            <v>นาย</v>
          </cell>
          <cell r="C191" t="str">
            <v>ทวีสิทธิ์</v>
          </cell>
          <cell r="D191" t="str">
            <v>แสงขุรัง</v>
          </cell>
          <cell r="E191" t="str">
            <v>บง.วบก.</v>
          </cell>
          <cell r="F191" t="str">
            <v>Maintenance</v>
          </cell>
          <cell r="G191">
            <v>29.284052019164939</v>
          </cell>
          <cell r="H191" t="str">
            <v>Male</v>
          </cell>
          <cell r="I191" t="str">
            <v>ไม่สูบ</v>
          </cell>
          <cell r="J191">
            <v>114</v>
          </cell>
          <cell r="K191">
            <v>166.5</v>
          </cell>
          <cell r="L191">
            <v>74.599999999999994</v>
          </cell>
          <cell r="M191">
            <v>26.909792675558439</v>
          </cell>
          <cell r="N191">
            <v>79</v>
          </cell>
          <cell r="O191" t="str">
            <v>ไม่มี</v>
          </cell>
          <cell r="P191">
            <v>90</v>
          </cell>
          <cell r="Q191">
            <v>233</v>
          </cell>
          <cell r="R191">
            <v>1</v>
          </cell>
          <cell r="S191">
            <v>0</v>
          </cell>
          <cell r="T191">
            <v>0</v>
          </cell>
          <cell r="U191">
            <v>5.6610239767282664</v>
          </cell>
          <cell r="V191">
            <v>0.90006551529488998</v>
          </cell>
          <cell r="W191" t="str">
            <v>ความเสี่ยงต่ำ</v>
          </cell>
        </row>
        <row r="192">
          <cell r="A192">
            <v>660027</v>
          </cell>
          <cell r="B192" t="str">
            <v>นาย</v>
          </cell>
          <cell r="C192" t="str">
            <v>ญาณพล</v>
          </cell>
          <cell r="D192" t="str">
            <v>กิตติคุณธราดล</v>
          </cell>
          <cell r="E192" t="str">
            <v>บฟ.วบก.</v>
          </cell>
          <cell r="F192" t="str">
            <v>Maintenance</v>
          </cell>
          <cell r="G192">
            <v>27.937029431895958</v>
          </cell>
          <cell r="H192" t="str">
            <v>Male</v>
          </cell>
          <cell r="I192" t="str">
            <v>สูบ 2-3 มวนต่อวัน</v>
          </cell>
          <cell r="J192">
            <v>111</v>
          </cell>
          <cell r="K192">
            <v>160.5</v>
          </cell>
          <cell r="L192">
            <v>64.099999999999994</v>
          </cell>
          <cell r="M192">
            <v>24.883298881027937</v>
          </cell>
          <cell r="N192">
            <v>81</v>
          </cell>
          <cell r="O192" t="str">
            <v>ไม่มี</v>
          </cell>
          <cell r="P192">
            <v>85</v>
          </cell>
          <cell r="Q192">
            <v>224</v>
          </cell>
          <cell r="R192">
            <v>1</v>
          </cell>
          <cell r="S192">
            <v>1</v>
          </cell>
          <cell r="T192">
            <v>0</v>
          </cell>
          <cell r="U192">
            <v>5.8883571184120456</v>
          </cell>
          <cell r="V192">
            <v>1.1285046960911704</v>
          </cell>
          <cell r="W192" t="str">
            <v>ความเสี่ยงต่ำ</v>
          </cell>
        </row>
        <row r="193">
          <cell r="A193">
            <v>540250</v>
          </cell>
          <cell r="B193" t="str">
            <v>นาย</v>
          </cell>
          <cell r="C193" t="str">
            <v>วิศรุต</v>
          </cell>
          <cell r="D193" t="str">
            <v>อินบัว</v>
          </cell>
          <cell r="E193" t="str">
            <v>ตร.วบก.</v>
          </cell>
          <cell r="F193" t="str">
            <v>Maintenance</v>
          </cell>
          <cell r="G193">
            <v>35.958932238193</v>
          </cell>
          <cell r="H193" t="str">
            <v>Male</v>
          </cell>
          <cell r="I193" t="str">
            <v>สูบ 20 มวนต่อวัน</v>
          </cell>
          <cell r="J193">
            <v>117</v>
          </cell>
          <cell r="K193">
            <v>175</v>
          </cell>
          <cell r="L193">
            <v>67.2</v>
          </cell>
          <cell r="M193">
            <v>21.94285714285714</v>
          </cell>
          <cell r="N193">
            <v>80</v>
          </cell>
          <cell r="O193" t="str">
            <v>ไม่มี</v>
          </cell>
          <cell r="P193">
            <v>82</v>
          </cell>
          <cell r="Q193">
            <v>173</v>
          </cell>
          <cell r="R193">
            <v>1</v>
          </cell>
          <cell r="S193">
            <v>1</v>
          </cell>
          <cell r="T193">
            <v>0</v>
          </cell>
          <cell r="U193">
            <v>6.5617094250513333</v>
          </cell>
          <cell r="V193">
            <v>2.2007735154882524</v>
          </cell>
          <cell r="W193" t="str">
            <v>ความเสี่ยงต่ำ</v>
          </cell>
        </row>
        <row r="194">
          <cell r="A194">
            <v>590139</v>
          </cell>
          <cell r="B194" t="str">
            <v>นาย</v>
          </cell>
          <cell r="C194" t="str">
            <v>ชัยวัฒน์</v>
          </cell>
          <cell r="D194" t="str">
            <v>หนูหอม</v>
          </cell>
          <cell r="E194" t="str">
            <v>ผ.ปก.C ปอ.</v>
          </cell>
          <cell r="F194" t="str">
            <v>Operation</v>
          </cell>
          <cell r="G194">
            <v>33.954825462012309</v>
          </cell>
          <cell r="H194" t="str">
            <v>Male</v>
          </cell>
          <cell r="I194" t="str">
            <v>ไม่สูบ</v>
          </cell>
          <cell r="J194">
            <v>133</v>
          </cell>
          <cell r="K194">
            <v>173.5</v>
          </cell>
          <cell r="L194">
            <v>89.1</v>
          </cell>
          <cell r="M194">
            <v>29.599116345123704</v>
          </cell>
          <cell r="N194">
            <v>91</v>
          </cell>
          <cell r="O194" t="str">
            <v>ไม่มี</v>
          </cell>
          <cell r="P194">
            <v>84</v>
          </cell>
          <cell r="Q194">
            <v>275</v>
          </cell>
          <cell r="R194">
            <v>1</v>
          </cell>
          <cell r="S194">
            <v>0</v>
          </cell>
          <cell r="T194">
            <v>0</v>
          </cell>
          <cell r="U194">
            <v>6.5282333675564672</v>
          </cell>
          <cell r="V194">
            <v>2.1290967254171678</v>
          </cell>
          <cell r="W194" t="str">
            <v>ความเสี่ยงต่ำ</v>
          </cell>
        </row>
        <row r="195">
          <cell r="A195">
            <v>480174</v>
          </cell>
          <cell r="B195" t="str">
            <v>นาย</v>
          </cell>
          <cell r="C195" t="str">
            <v>เอกชัย</v>
          </cell>
          <cell r="D195" t="str">
            <v>ปัญญาสงค์</v>
          </cell>
          <cell r="E195" t="str">
            <v>อท.บรก.</v>
          </cell>
          <cell r="F195" t="str">
            <v>Support</v>
          </cell>
          <cell r="G195">
            <v>41.86721423682409</v>
          </cell>
          <cell r="H195" t="str">
            <v>Male</v>
          </cell>
          <cell r="I195" t="str">
            <v>ไม่สูบ</v>
          </cell>
          <cell r="J195">
            <v>135</v>
          </cell>
          <cell r="K195">
            <v>170.5</v>
          </cell>
          <cell r="L195">
            <v>76.099999999999994</v>
          </cell>
          <cell r="M195">
            <v>26.177965445773598</v>
          </cell>
          <cell r="N195">
            <v>92</v>
          </cell>
          <cell r="O195" t="str">
            <v>โรคภูมิแพ้</v>
          </cell>
          <cell r="P195">
            <v>92</v>
          </cell>
          <cell r="Q195">
            <v>222</v>
          </cell>
          <cell r="R195">
            <v>1</v>
          </cell>
          <cell r="S195">
            <v>0</v>
          </cell>
          <cell r="T195">
            <v>0</v>
          </cell>
          <cell r="U195">
            <v>7.1050241409993156</v>
          </cell>
          <cell r="V195">
            <v>3.7589283820924857</v>
          </cell>
          <cell r="W195" t="str">
            <v>ความเสี่ยงต่ำ</v>
          </cell>
        </row>
        <row r="196">
          <cell r="A196">
            <v>580188</v>
          </cell>
          <cell r="B196" t="str">
            <v>นาย</v>
          </cell>
          <cell r="C196" t="str">
            <v>ธนพนธ์</v>
          </cell>
          <cell r="D196" t="str">
            <v>วิสารทกุล</v>
          </cell>
          <cell r="E196" t="str">
            <v>ซญ.วบก.</v>
          </cell>
          <cell r="F196" t="str">
            <v>Maintenance</v>
          </cell>
          <cell r="G196">
            <v>32.911704312114978</v>
          </cell>
          <cell r="H196" t="str">
            <v>Male</v>
          </cell>
          <cell r="I196" t="str">
            <v>ไม่สูบ</v>
          </cell>
          <cell r="J196">
            <v>134</v>
          </cell>
          <cell r="K196">
            <v>184</v>
          </cell>
          <cell r="L196">
            <v>102.7</v>
          </cell>
          <cell r="M196">
            <v>30.334357277882795</v>
          </cell>
          <cell r="N196">
            <v>94</v>
          </cell>
          <cell r="O196" t="str">
            <v>ไม่มี</v>
          </cell>
          <cell r="P196">
            <v>84</v>
          </cell>
          <cell r="Q196">
            <v>172</v>
          </cell>
          <cell r="R196">
            <v>1</v>
          </cell>
          <cell r="S196">
            <v>0</v>
          </cell>
          <cell r="T196">
            <v>0</v>
          </cell>
          <cell r="U196">
            <v>6.2453547638603677</v>
          </cell>
          <cell r="V196">
            <v>1.6087574773430591</v>
          </cell>
          <cell r="W196" t="str">
            <v>ความเสี่ยงต่ำ</v>
          </cell>
        </row>
        <row r="197">
          <cell r="A197">
            <v>480222</v>
          </cell>
          <cell r="B197" t="str">
            <v>นาย</v>
          </cell>
          <cell r="C197" t="str">
            <v>วิวัฒน์</v>
          </cell>
          <cell r="D197" t="str">
            <v>จบศรี</v>
          </cell>
          <cell r="E197" t="str">
            <v>คผ.D ปล.</v>
          </cell>
          <cell r="F197" t="str">
            <v>Operation</v>
          </cell>
          <cell r="G197">
            <v>43.088295687885008</v>
          </cell>
          <cell r="H197" t="str">
            <v>Male</v>
          </cell>
          <cell r="I197" t="str">
            <v>ไม่สูบ</v>
          </cell>
          <cell r="J197">
            <v>121</v>
          </cell>
          <cell r="K197">
            <v>168</v>
          </cell>
          <cell r="L197">
            <v>71.5</v>
          </cell>
          <cell r="M197">
            <v>25.333049886621318</v>
          </cell>
          <cell r="N197">
            <v>85</v>
          </cell>
          <cell r="O197" t="str">
            <v>โรคภูมิแพ้</v>
          </cell>
          <cell r="P197">
            <v>92</v>
          </cell>
          <cell r="Q197">
            <v>264</v>
          </cell>
          <cell r="R197">
            <v>1</v>
          </cell>
          <cell r="S197">
            <v>0</v>
          </cell>
          <cell r="T197">
            <v>0</v>
          </cell>
          <cell r="U197">
            <v>7.0022252361396307</v>
          </cell>
          <cell r="V197">
            <v>3.3980275040710772</v>
          </cell>
          <cell r="W197" t="str">
            <v>ความเสี่ยงต่ำ</v>
          </cell>
        </row>
        <row r="198">
          <cell r="A198">
            <v>330136</v>
          </cell>
          <cell r="B198" t="str">
            <v>นาย</v>
          </cell>
          <cell r="C198" t="str">
            <v>ณัฐพัชร์</v>
          </cell>
          <cell r="D198" t="str">
            <v>เขียวเหมือน</v>
          </cell>
          <cell r="E198" t="str">
            <v>คผ.A ปล.</v>
          </cell>
          <cell r="F198" t="str">
            <v>Operation</v>
          </cell>
          <cell r="G198">
            <v>57.908281998631075</v>
          </cell>
          <cell r="H198" t="str">
            <v>Male</v>
          </cell>
          <cell r="I198" t="str">
            <v>ไม่สูบ</v>
          </cell>
          <cell r="J198">
            <v>127</v>
          </cell>
          <cell r="K198">
            <v>168.5</v>
          </cell>
          <cell r="L198">
            <v>89.4</v>
          </cell>
          <cell r="M198">
            <v>31.48746576970828</v>
          </cell>
          <cell r="N198">
            <v>105</v>
          </cell>
          <cell r="O198" t="str">
            <v>โรคความดันโลหิตสูง ไขมันในเลือดสูง</v>
          </cell>
          <cell r="P198">
            <v>89</v>
          </cell>
          <cell r="Q198">
            <v>153</v>
          </cell>
          <cell r="R198">
            <v>1</v>
          </cell>
          <cell r="S198">
            <v>0</v>
          </cell>
          <cell r="T198">
            <v>0</v>
          </cell>
          <cell r="U198">
            <v>8.1046647159479814</v>
          </cell>
          <cell r="V198">
            <v>9.8874523613708512</v>
          </cell>
          <cell r="W198" t="str">
            <v>ความเสี่ยงต่ำ</v>
          </cell>
        </row>
        <row r="199">
          <cell r="A199">
            <v>480186</v>
          </cell>
          <cell r="B199" t="str">
            <v>นาย</v>
          </cell>
          <cell r="C199" t="str">
            <v>วิฑูรย์</v>
          </cell>
          <cell r="D199" t="str">
            <v>ทิพวงกูล</v>
          </cell>
          <cell r="E199" t="str">
            <v>บง.วบก.</v>
          </cell>
          <cell r="F199" t="str">
            <v>Maintenance</v>
          </cell>
          <cell r="G199">
            <v>43.972621492128681</v>
          </cell>
          <cell r="H199" t="str">
            <v>Male</v>
          </cell>
          <cell r="I199" t="str">
            <v>ไม่สูบ</v>
          </cell>
          <cell r="J199">
            <v>122</v>
          </cell>
          <cell r="K199">
            <v>173.5</v>
          </cell>
          <cell r="L199">
            <v>91.5</v>
          </cell>
          <cell r="M199">
            <v>30.396398940278551</v>
          </cell>
          <cell r="N199">
            <v>99</v>
          </cell>
          <cell r="O199" t="str">
            <v>โรคไวรัสตับบี</v>
          </cell>
          <cell r="P199">
            <v>87</v>
          </cell>
          <cell r="Q199">
            <v>254</v>
          </cell>
          <cell r="R199">
            <v>1</v>
          </cell>
          <cell r="S199">
            <v>0</v>
          </cell>
          <cell r="T199">
            <v>0</v>
          </cell>
          <cell r="U199">
            <v>7.0742296167008902</v>
          </cell>
          <cell r="V199">
            <v>3.647042896786179</v>
          </cell>
          <cell r="W199" t="str">
            <v>ความเสี่ยงต่ำ</v>
          </cell>
        </row>
        <row r="200">
          <cell r="A200">
            <v>550189</v>
          </cell>
          <cell r="B200" t="str">
            <v>นาย</v>
          </cell>
          <cell r="C200" t="str">
            <v>เอกกร</v>
          </cell>
          <cell r="D200" t="str">
            <v>เพชรเศรษฐ</v>
          </cell>
          <cell r="E200" t="str">
            <v>ผ.ปก.C ปอ.</v>
          </cell>
          <cell r="F200" t="str">
            <v>Operation</v>
          </cell>
          <cell r="G200">
            <v>34.058863791923336</v>
          </cell>
          <cell r="H200" t="str">
            <v>Male</v>
          </cell>
          <cell r="I200" t="str">
            <v>ไม่สูบ</v>
          </cell>
          <cell r="J200">
            <v>164</v>
          </cell>
          <cell r="K200">
            <v>174</v>
          </cell>
          <cell r="L200">
            <v>95.4</v>
          </cell>
          <cell r="M200">
            <v>31.510107015457788</v>
          </cell>
          <cell r="N200">
            <v>98</v>
          </cell>
          <cell r="O200" t="str">
            <v>โรคความดันโลหิตสูง</v>
          </cell>
          <cell r="P200">
            <v>100</v>
          </cell>
          <cell r="Q200">
            <v>199</v>
          </cell>
          <cell r="R200">
            <v>1</v>
          </cell>
          <cell r="S200">
            <v>0</v>
          </cell>
          <cell r="T200">
            <v>0</v>
          </cell>
          <cell r="U200">
            <v>7.0216668240930868</v>
          </cell>
          <cell r="V200">
            <v>3.4635682158648984</v>
          </cell>
          <cell r="W200" t="str">
            <v>ความเสี่ยงต่ำ</v>
          </cell>
        </row>
        <row r="201">
          <cell r="A201">
            <v>480167</v>
          </cell>
          <cell r="B201" t="str">
            <v>นาย</v>
          </cell>
          <cell r="C201" t="str">
            <v>ปราโมทย์</v>
          </cell>
          <cell r="D201" t="str">
            <v>ใจเที่ยง</v>
          </cell>
          <cell r="E201" t="str">
            <v>คผ.C ปผ.</v>
          </cell>
          <cell r="F201" t="str">
            <v>Operation</v>
          </cell>
          <cell r="G201">
            <v>40.999315537303211</v>
          </cell>
          <cell r="H201" t="str">
            <v>Male</v>
          </cell>
          <cell r="I201" t="str">
            <v>ไม่สูบ</v>
          </cell>
          <cell r="J201">
            <v>105</v>
          </cell>
          <cell r="K201">
            <v>166.5</v>
          </cell>
          <cell r="L201">
            <v>75.599999999999994</v>
          </cell>
          <cell r="M201">
            <v>27.270513757000241</v>
          </cell>
          <cell r="N201">
            <v>91</v>
          </cell>
          <cell r="O201" t="str">
            <v>ไม่มี</v>
          </cell>
          <cell r="P201">
            <v>90</v>
          </cell>
          <cell r="Q201">
            <v>188</v>
          </cell>
          <cell r="R201">
            <v>1</v>
          </cell>
          <cell r="S201">
            <v>0</v>
          </cell>
          <cell r="T201">
            <v>0</v>
          </cell>
          <cell r="U201">
            <v>6.3367239904175214</v>
          </cell>
          <cell r="V201">
            <v>1.7613097653987886</v>
          </cell>
          <cell r="W201" t="str">
            <v>ความเสี่ยงต่ำ</v>
          </cell>
        </row>
        <row r="202">
          <cell r="A202">
            <v>660080</v>
          </cell>
          <cell r="B202" t="str">
            <v>นาย</v>
          </cell>
          <cell r="C202" t="str">
            <v>ศรัณย์</v>
          </cell>
          <cell r="D202" t="str">
            <v>แสงจันทร์</v>
          </cell>
          <cell r="E202" t="str">
            <v>บฟ.วบก.</v>
          </cell>
          <cell r="F202" t="str">
            <v>Maintenance</v>
          </cell>
          <cell r="G202">
            <v>24.531143052703619</v>
          </cell>
          <cell r="H202" t="str">
            <v>Male</v>
          </cell>
          <cell r="I202" t="str">
            <v>ไม่ระบุ</v>
          </cell>
          <cell r="J202">
            <v>119</v>
          </cell>
          <cell r="K202">
            <v>177</v>
          </cell>
          <cell r="L202">
            <v>84.3</v>
          </cell>
          <cell r="M202">
            <v>26.907976635066554</v>
          </cell>
          <cell r="N202">
            <v>85</v>
          </cell>
          <cell r="O202" t="str">
            <v>ไม่มี</v>
          </cell>
          <cell r="P202">
            <v>87</v>
          </cell>
          <cell r="Q202">
            <v>240</v>
          </cell>
          <cell r="R202">
            <v>1</v>
          </cell>
          <cell r="S202">
            <v>1</v>
          </cell>
          <cell r="T202">
            <v>0</v>
          </cell>
          <cell r="U202">
            <v>5.8102934360027367</v>
          </cell>
          <cell r="V202">
            <v>1.0442042914513672</v>
          </cell>
          <cell r="W202" t="str">
            <v>ความเสี่ยงต่ำ</v>
          </cell>
        </row>
        <row r="203">
          <cell r="A203">
            <v>560225</v>
          </cell>
          <cell r="B203" t="str">
            <v>นาย</v>
          </cell>
          <cell r="C203" t="str">
            <v>ปัญจพล</v>
          </cell>
          <cell r="D203" t="str">
            <v>กิตติสรรพกุล</v>
          </cell>
          <cell r="E203" t="str">
            <v>บง.วบก.</v>
          </cell>
          <cell r="F203" t="str">
            <v>Maintenance</v>
          </cell>
          <cell r="G203">
            <v>33.705681040383297</v>
          </cell>
          <cell r="H203" t="str">
            <v>Male</v>
          </cell>
          <cell r="I203" t="str">
            <v>ไม่สูบ</v>
          </cell>
          <cell r="J203">
            <v>116</v>
          </cell>
          <cell r="K203">
            <v>172.5</v>
          </cell>
          <cell r="L203">
            <v>71</v>
          </cell>
          <cell r="M203">
            <v>23.860533501365261</v>
          </cell>
          <cell r="N203">
            <v>89</v>
          </cell>
          <cell r="O203" t="str">
            <v>ไม่มี</v>
          </cell>
          <cell r="P203">
            <v>88</v>
          </cell>
          <cell r="Q203">
            <v>147</v>
          </cell>
          <cell r="R203">
            <v>1</v>
          </cell>
          <cell r="S203">
            <v>0</v>
          </cell>
          <cell r="T203">
            <v>0</v>
          </cell>
          <cell r="U203">
            <v>5.8822058795345651</v>
          </cell>
          <cell r="V203">
            <v>1.1216232572105023</v>
          </cell>
          <cell r="W203" t="str">
            <v>ความเสี่ยงต่ำ</v>
          </cell>
        </row>
        <row r="204">
          <cell r="A204">
            <v>450046</v>
          </cell>
          <cell r="B204" t="str">
            <v>นาย</v>
          </cell>
          <cell r="C204" t="str">
            <v>พัฒน์สิน</v>
          </cell>
          <cell r="D204" t="str">
            <v>วรโชติกิตินันท์</v>
          </cell>
          <cell r="E204" t="str">
            <v>ผบ.วบก.</v>
          </cell>
          <cell r="F204" t="str">
            <v>Maintenance</v>
          </cell>
          <cell r="G204">
            <v>47.227926078028744</v>
          </cell>
          <cell r="H204" t="str">
            <v>Male</v>
          </cell>
          <cell r="I204" t="str">
            <v>ไม่สูบ</v>
          </cell>
          <cell r="J204">
            <v>114</v>
          </cell>
          <cell r="K204">
            <v>167</v>
          </cell>
          <cell r="L204">
            <v>62.2</v>
          </cell>
          <cell r="M204">
            <v>22.30269998924307</v>
          </cell>
          <cell r="N204">
            <v>79</v>
          </cell>
          <cell r="O204" t="str">
            <v>โรคภูมิแพ้</v>
          </cell>
          <cell r="P204">
            <v>89</v>
          </cell>
          <cell r="Q204">
            <v>236</v>
          </cell>
          <cell r="R204">
            <v>1</v>
          </cell>
          <cell r="S204">
            <v>0</v>
          </cell>
          <cell r="T204">
            <v>0</v>
          </cell>
          <cell r="U204">
            <v>7.1357311909650925</v>
          </cell>
          <cell r="V204">
            <v>3.8738446226237344</v>
          </cell>
          <cell r="W204" t="str">
            <v>ความเสี่ยงต่ำ</v>
          </cell>
        </row>
        <row r="205">
          <cell r="A205">
            <v>350068</v>
          </cell>
          <cell r="B205" t="str">
            <v>นาย</v>
          </cell>
          <cell r="C205" t="str">
            <v>กิตติพงษ์</v>
          </cell>
          <cell r="D205" t="str">
            <v>อินพหล</v>
          </cell>
          <cell r="E205" t="str">
            <v>คผ.B ปล.</v>
          </cell>
          <cell r="F205" t="str">
            <v>Operation</v>
          </cell>
          <cell r="G205">
            <v>56.238193018480494</v>
          </cell>
          <cell r="H205" t="str">
            <v>Male</v>
          </cell>
          <cell r="I205" t="str">
            <v>ไม่สูบ</v>
          </cell>
          <cell r="J205">
            <v>104</v>
          </cell>
          <cell r="K205">
            <v>169.5</v>
          </cell>
          <cell r="L205">
            <v>83.4</v>
          </cell>
          <cell r="M205">
            <v>29.028637063722034</v>
          </cell>
          <cell r="N205">
            <v>97</v>
          </cell>
          <cell r="O205" t="str">
            <v>ไขมันในเลือดสูง โรคเก๊าท์</v>
          </cell>
          <cell r="P205">
            <v>80</v>
          </cell>
          <cell r="Q205">
            <v>185</v>
          </cell>
          <cell r="R205">
            <v>1</v>
          </cell>
          <cell r="S205">
            <v>0</v>
          </cell>
          <cell r="T205">
            <v>0</v>
          </cell>
          <cell r="U205">
            <v>7.556521334702258</v>
          </cell>
          <cell r="V205">
            <v>5.8403379507678155</v>
          </cell>
          <cell r="W205" t="str">
            <v>ความเสี่ยงต่ำ</v>
          </cell>
        </row>
        <row r="206">
          <cell r="A206">
            <v>580272</v>
          </cell>
          <cell r="B206" t="str">
            <v>นาย</v>
          </cell>
          <cell r="C206" t="str">
            <v>พรเทพ</v>
          </cell>
          <cell r="D206" t="str">
            <v>หาญสาริกิจ</v>
          </cell>
          <cell r="E206" t="str">
            <v>ผ.ปก.C คธ.</v>
          </cell>
          <cell r="F206" t="str">
            <v>Operation</v>
          </cell>
          <cell r="G206">
            <v>31.211498973305954</v>
          </cell>
          <cell r="H206" t="str">
            <v>Male</v>
          </cell>
          <cell r="I206" t="str">
            <v>ไม่สูบ</v>
          </cell>
          <cell r="J206">
            <v>124</v>
          </cell>
          <cell r="K206">
            <v>175</v>
          </cell>
          <cell r="L206">
            <v>67.900000000000006</v>
          </cell>
          <cell r="M206">
            <v>22.171428571428571</v>
          </cell>
          <cell r="N206">
            <v>85</v>
          </cell>
          <cell r="O206" t="str">
            <v>ไขมันในเลือดสูง</v>
          </cell>
          <cell r="P206">
            <v>89</v>
          </cell>
          <cell r="Q206">
            <v>261</v>
          </cell>
          <cell r="R206">
            <v>1</v>
          </cell>
          <cell r="S206">
            <v>0</v>
          </cell>
          <cell r="T206">
            <v>0</v>
          </cell>
          <cell r="U206">
            <v>6.0865069609856262</v>
          </cell>
          <cell r="V206">
            <v>1.3741046699852877</v>
          </cell>
          <cell r="W206" t="str">
            <v>ความเสี่ยงต่ำ</v>
          </cell>
        </row>
        <row r="207">
          <cell r="A207">
            <v>490004</v>
          </cell>
          <cell r="B207" t="str">
            <v>นาย</v>
          </cell>
          <cell r="C207" t="str">
            <v>อภินันท์</v>
          </cell>
          <cell r="D207" t="str">
            <v>ยิ่งยวด</v>
          </cell>
          <cell r="E207" t="str">
            <v>บง.วบก.</v>
          </cell>
          <cell r="F207" t="str">
            <v>Maintenance</v>
          </cell>
          <cell r="G207">
            <v>41.451060917180001</v>
          </cell>
          <cell r="H207" t="str">
            <v>Male</v>
          </cell>
          <cell r="I207" t="str">
            <v>ไม่สูบ</v>
          </cell>
          <cell r="J207">
            <v>119</v>
          </cell>
          <cell r="K207">
            <v>179.5</v>
          </cell>
          <cell r="L207">
            <v>81.2</v>
          </cell>
          <cell r="M207">
            <v>25.20154250820524</v>
          </cell>
          <cell r="N207">
            <v>84</v>
          </cell>
          <cell r="O207" t="str">
            <v>ไม่มี</v>
          </cell>
          <cell r="P207">
            <v>90</v>
          </cell>
          <cell r="Q207">
            <v>189</v>
          </cell>
          <cell r="R207">
            <v>1</v>
          </cell>
          <cell r="S207">
            <v>0</v>
          </cell>
          <cell r="T207">
            <v>0</v>
          </cell>
          <cell r="U207">
            <v>6.6675703148528394</v>
          </cell>
          <cell r="V207">
            <v>2.4435017590437536</v>
          </cell>
          <cell r="W207" t="str">
            <v>ความเสี่ยงต่ำ</v>
          </cell>
        </row>
        <row r="208">
          <cell r="A208">
            <v>550140</v>
          </cell>
          <cell r="B208" t="str">
            <v>นาย</v>
          </cell>
          <cell r="C208" t="str">
            <v>กิติศักดิ์</v>
          </cell>
          <cell r="D208" t="str">
            <v>เบญจพลาภรณ์</v>
          </cell>
          <cell r="E208" t="str">
            <v>ผ.ปก.A คธ.</v>
          </cell>
          <cell r="F208" t="str">
            <v>Operation</v>
          </cell>
          <cell r="G208">
            <v>35.381245722108147</v>
          </cell>
          <cell r="H208" t="str">
            <v>Male</v>
          </cell>
          <cell r="I208" t="str">
            <v>ไม่สูบ</v>
          </cell>
          <cell r="J208">
            <v>150</v>
          </cell>
          <cell r="K208">
            <v>177</v>
          </cell>
          <cell r="L208">
            <v>122.9</v>
          </cell>
          <cell r="M208">
            <v>39.228829518976028</v>
          </cell>
          <cell r="N208">
            <v>120</v>
          </cell>
          <cell r="O208" t="str">
            <v>โรคภูมิแพ้</v>
          </cell>
          <cell r="P208">
            <v>111</v>
          </cell>
          <cell r="Q208">
            <v>188</v>
          </cell>
          <cell r="R208">
            <v>1</v>
          </cell>
          <cell r="S208">
            <v>0</v>
          </cell>
          <cell r="T208">
            <v>0</v>
          </cell>
          <cell r="U208">
            <v>6.8147973374401101</v>
          </cell>
          <cell r="V208">
            <v>2.8255581988927303</v>
          </cell>
          <cell r="W208" t="str">
            <v>ความเสี่ยงต่ำ</v>
          </cell>
        </row>
        <row r="209">
          <cell r="A209">
            <v>540331</v>
          </cell>
          <cell r="B209" t="str">
            <v>นาย</v>
          </cell>
          <cell r="C209" t="str">
            <v>ศิริศักดิ์</v>
          </cell>
          <cell r="D209" t="str">
            <v>ศรีธาราม</v>
          </cell>
          <cell r="E209" t="str">
            <v>ผ.ปก.A ปอ.</v>
          </cell>
          <cell r="F209" t="str">
            <v>Operation</v>
          </cell>
          <cell r="G209">
            <v>35.879534565366185</v>
          </cell>
          <cell r="H209" t="str">
            <v>Male</v>
          </cell>
          <cell r="I209" t="str">
            <v>ไม่สูบ</v>
          </cell>
          <cell r="J209">
            <v>120</v>
          </cell>
          <cell r="K209">
            <v>177.5</v>
          </cell>
          <cell r="L209">
            <v>65.3</v>
          </cell>
          <cell r="M209">
            <v>20.726046419361236</v>
          </cell>
          <cell r="N209">
            <v>82</v>
          </cell>
          <cell r="O209" t="str">
            <v>ไม่มี</v>
          </cell>
          <cell r="P209">
            <v>94</v>
          </cell>
          <cell r="Q209">
            <v>272</v>
          </cell>
          <cell r="R209">
            <v>1</v>
          </cell>
          <cell r="S209">
            <v>0</v>
          </cell>
          <cell r="T209">
            <v>0</v>
          </cell>
          <cell r="U209">
            <v>6.4084523134839149</v>
          </cell>
          <cell r="V209">
            <v>1.8910407687184549</v>
          </cell>
          <cell r="W209" t="str">
            <v>ความเสี่ยงต่ำ</v>
          </cell>
        </row>
        <row r="210">
          <cell r="A210">
            <v>560062</v>
          </cell>
          <cell r="B210" t="str">
            <v>นาย</v>
          </cell>
          <cell r="C210" t="str">
            <v>กฤษดา</v>
          </cell>
          <cell r="D210" t="str">
            <v>โท๊ะนาบุตร</v>
          </cell>
          <cell r="E210" t="str">
            <v>บง.วบก.</v>
          </cell>
          <cell r="F210" t="str">
            <v>Maintenance</v>
          </cell>
          <cell r="G210">
            <v>34.020533880903493</v>
          </cell>
          <cell r="H210" t="str">
            <v>Male</v>
          </cell>
          <cell r="I210" t="str">
            <v>ไม่สูบ</v>
          </cell>
          <cell r="J210">
            <v>105</v>
          </cell>
          <cell r="K210">
            <v>167</v>
          </cell>
          <cell r="L210">
            <v>69.2</v>
          </cell>
          <cell r="M210">
            <v>24.812650148804188</v>
          </cell>
          <cell r="N210">
            <v>85</v>
          </cell>
          <cell r="O210" t="str">
            <v>ไม่มี</v>
          </cell>
          <cell r="P210">
            <v>85</v>
          </cell>
          <cell r="Q210">
            <v>209</v>
          </cell>
          <cell r="R210">
            <v>1</v>
          </cell>
          <cell r="S210">
            <v>0</v>
          </cell>
          <cell r="T210">
            <v>0</v>
          </cell>
          <cell r="U210">
            <v>5.8101702874743335</v>
          </cell>
          <cell r="V210">
            <v>1.0440763807549103</v>
          </cell>
          <cell r="W210" t="str">
            <v>ความเสี่ยงต่ำ</v>
          </cell>
        </row>
        <row r="211">
          <cell r="A211">
            <v>560269</v>
          </cell>
          <cell r="B211" t="str">
            <v>นางสาว</v>
          </cell>
          <cell r="C211" t="str">
            <v>ปรางชนก</v>
          </cell>
          <cell r="D211" t="str">
            <v>ปาลกะวงศ์</v>
          </cell>
          <cell r="E211" t="str">
            <v>ผ.จด.พย.</v>
          </cell>
          <cell r="F211" t="str">
            <v>Support</v>
          </cell>
          <cell r="G211">
            <v>34.590006844626963</v>
          </cell>
          <cell r="H211" t="str">
            <v>Female</v>
          </cell>
          <cell r="I211" t="str">
            <v>ไม่สูบ</v>
          </cell>
          <cell r="J211">
            <v>109</v>
          </cell>
          <cell r="K211">
            <v>159</v>
          </cell>
          <cell r="L211">
            <v>47</v>
          </cell>
          <cell r="M211">
            <v>18.591036746964125</v>
          </cell>
          <cell r="N211">
            <v>65</v>
          </cell>
          <cell r="O211" t="str">
            <v>โรคภูมิแพ้</v>
          </cell>
          <cell r="P211">
            <v>76</v>
          </cell>
          <cell r="Q211">
            <v>170</v>
          </cell>
          <cell r="R211">
            <v>0</v>
          </cell>
          <cell r="S211">
            <v>0</v>
          </cell>
          <cell r="T211">
            <v>0</v>
          </cell>
          <cell r="U211">
            <v>5.4624602600958241</v>
          </cell>
          <cell r="V211">
            <v>0.73857072586890338</v>
          </cell>
          <cell r="W211" t="str">
            <v>ความเสี่ยงต่ำ</v>
          </cell>
        </row>
        <row r="212">
          <cell r="A212">
            <v>480218</v>
          </cell>
          <cell r="B212" t="str">
            <v>นาย</v>
          </cell>
          <cell r="C212" t="str">
            <v>ภัทรวิทย์</v>
          </cell>
          <cell r="D212" t="str">
            <v>อุปถัมภ์</v>
          </cell>
          <cell r="E212" t="str">
            <v>คผ.B ปต.</v>
          </cell>
          <cell r="F212" t="str">
            <v>Operation</v>
          </cell>
          <cell r="G212">
            <v>44.191649555099232</v>
          </cell>
          <cell r="H212" t="str">
            <v>Male</v>
          </cell>
          <cell r="I212" t="str">
            <v>ไม่สูบ</v>
          </cell>
          <cell r="J212">
            <v>117</v>
          </cell>
          <cell r="K212">
            <v>172</v>
          </cell>
          <cell r="L212">
            <v>81.5</v>
          </cell>
          <cell r="M212">
            <v>27.548674959437534</v>
          </cell>
          <cell r="N212">
            <v>97</v>
          </cell>
          <cell r="O212" t="str">
            <v>ไขมันในเลือดสูง , โรคเบาหวาน</v>
          </cell>
          <cell r="P212">
            <v>163</v>
          </cell>
          <cell r="Q212">
            <v>192</v>
          </cell>
          <cell r="R212">
            <v>1</v>
          </cell>
          <cell r="S212">
            <v>0</v>
          </cell>
          <cell r="T212">
            <v>1</v>
          </cell>
          <cell r="U212">
            <v>7.5562526830937706</v>
          </cell>
          <cell r="V212">
            <v>5.8388158636388905</v>
          </cell>
          <cell r="W212" t="str">
            <v>ความเสี่ยงต่ำ</v>
          </cell>
        </row>
        <row r="213">
          <cell r="A213">
            <v>620077</v>
          </cell>
          <cell r="B213" t="str">
            <v>นาย</v>
          </cell>
          <cell r="C213" t="str">
            <v>ศิรวิทย์</v>
          </cell>
          <cell r="D213" t="str">
            <v>เชรษฐศิริ</v>
          </cell>
          <cell r="E213" t="str">
            <v>กผ.ทผก.</v>
          </cell>
          <cell r="F213" t="str">
            <v>Support</v>
          </cell>
          <cell r="G213">
            <v>33.733059548254616</v>
          </cell>
          <cell r="H213" t="str">
            <v>Male</v>
          </cell>
          <cell r="I213" t="str">
            <v>ไม่สูบ</v>
          </cell>
          <cell r="J213">
            <v>135</v>
          </cell>
          <cell r="K213">
            <v>176.5</v>
          </cell>
          <cell r="L213">
            <v>104.2</v>
          </cell>
          <cell r="M213">
            <v>33.448627306213837</v>
          </cell>
          <cell r="N213">
            <v>101</v>
          </cell>
          <cell r="O213" t="str">
            <v>ไม่มี</v>
          </cell>
          <cell r="P213">
            <v>84</v>
          </cell>
          <cell r="Q213">
            <v>158</v>
          </cell>
          <cell r="R213">
            <v>1</v>
          </cell>
          <cell r="S213">
            <v>0</v>
          </cell>
          <cell r="T213">
            <v>0</v>
          </cell>
          <cell r="U213">
            <v>6.303726262833675</v>
          </cell>
          <cell r="V213">
            <v>1.7046291002123404</v>
          </cell>
          <cell r="W213" t="str">
            <v>ความเสี่ยงต่ำ</v>
          </cell>
        </row>
        <row r="214">
          <cell r="A214">
            <v>640012</v>
          </cell>
          <cell r="B214" t="str">
            <v>นาย</v>
          </cell>
          <cell r="C214" t="str">
            <v>ณัฐวุฒิ</v>
          </cell>
          <cell r="D214" t="str">
            <v>วงค์วันดี</v>
          </cell>
          <cell r="E214" t="str">
            <v>บฟ.วบก.</v>
          </cell>
          <cell r="F214" t="str">
            <v>Maintenance</v>
          </cell>
          <cell r="G214">
            <v>28.2819986310746</v>
          </cell>
          <cell r="H214" t="str">
            <v>Male</v>
          </cell>
          <cell r="I214" t="str">
            <v>ไม่สูบ</v>
          </cell>
          <cell r="J214">
            <v>123</v>
          </cell>
          <cell r="K214">
            <v>163.5</v>
          </cell>
          <cell r="L214">
            <v>64.400000000000006</v>
          </cell>
          <cell r="M214">
            <v>24.090751807273982</v>
          </cell>
          <cell r="N214">
            <v>82</v>
          </cell>
          <cell r="O214" t="str">
            <v>โรคเบาหวาน</v>
          </cell>
          <cell r="P214">
            <v>82</v>
          </cell>
          <cell r="Q214">
            <v>143</v>
          </cell>
          <cell r="R214">
            <v>1</v>
          </cell>
          <cell r="S214">
            <v>0</v>
          </cell>
          <cell r="T214">
            <v>1</v>
          </cell>
          <cell r="U214">
            <v>6.2755259479808352</v>
          </cell>
          <cell r="V214">
            <v>1.6576245796384281</v>
          </cell>
          <cell r="W214" t="str">
            <v>ความเสี่ยงต่ำ</v>
          </cell>
        </row>
        <row r="215">
          <cell r="A215">
            <v>660051</v>
          </cell>
          <cell r="B215" t="str">
            <v>นาย</v>
          </cell>
          <cell r="C215" t="str">
            <v>ศุภกฤษฎิ์</v>
          </cell>
          <cell r="D215" t="str">
            <v>พนานุรัตน์</v>
          </cell>
          <cell r="E215" t="str">
            <v>ผ.จด.พย.</v>
          </cell>
          <cell r="F215" t="str">
            <v>Support</v>
          </cell>
          <cell r="G215">
            <v>26.71868583162216</v>
          </cell>
          <cell r="H215" t="str">
            <v>Male</v>
          </cell>
          <cell r="I215" t="str">
            <v>สูบ 10 มวนต่อวัน</v>
          </cell>
          <cell r="J215">
            <v>110</v>
          </cell>
          <cell r="K215">
            <v>181.5</v>
          </cell>
          <cell r="L215">
            <v>75.599999999999994</v>
          </cell>
          <cell r="M215">
            <v>22.949252100266374</v>
          </cell>
          <cell r="N215">
            <v>82</v>
          </cell>
          <cell r="O215" t="str">
            <v>โรคภูมิแพ้</v>
          </cell>
          <cell r="P215">
            <v>68</v>
          </cell>
          <cell r="Q215">
            <v>224</v>
          </cell>
          <cell r="R215">
            <v>1</v>
          </cell>
          <cell r="S215">
            <v>1</v>
          </cell>
          <cell r="T215">
            <v>0</v>
          </cell>
          <cell r="U215">
            <v>5.7678200616016406</v>
          </cell>
          <cell r="V215">
            <v>1.0010001558513282</v>
          </cell>
          <cell r="W215" t="str">
            <v>ความเสี่ยงต่ำ</v>
          </cell>
        </row>
        <row r="216">
          <cell r="A216">
            <v>480241</v>
          </cell>
          <cell r="B216" t="str">
            <v>นาย</v>
          </cell>
          <cell r="C216" t="str">
            <v>อภิชาติ</v>
          </cell>
          <cell r="D216" t="str">
            <v>วงษ์ศรี</v>
          </cell>
          <cell r="E216" t="str">
            <v>ผ.ปก.B ปก.</v>
          </cell>
          <cell r="F216" t="str">
            <v>Operation</v>
          </cell>
          <cell r="G216">
            <v>40.725530458590001</v>
          </cell>
          <cell r="H216" t="str">
            <v>Male</v>
          </cell>
          <cell r="I216" t="str">
            <v>ไม่สูบ</v>
          </cell>
          <cell r="J216">
            <v>120</v>
          </cell>
          <cell r="K216">
            <v>177.5</v>
          </cell>
          <cell r="L216">
            <v>77.3</v>
          </cell>
          <cell r="M216">
            <v>24.534814520928386</v>
          </cell>
          <cell r="N216">
            <v>89</v>
          </cell>
          <cell r="O216" t="str">
            <v>โรคภูมิแพ้</v>
          </cell>
          <cell r="P216">
            <v>85</v>
          </cell>
          <cell r="Q216">
            <v>205</v>
          </cell>
          <cell r="R216">
            <v>1</v>
          </cell>
          <cell r="S216">
            <v>0</v>
          </cell>
          <cell r="T216">
            <v>0</v>
          </cell>
          <cell r="U216">
            <v>6.6629601574264194</v>
          </cell>
          <cell r="V216">
            <v>2.4324005712576979</v>
          </cell>
          <cell r="W216" t="str">
            <v>ความเสี่ยงต่ำ</v>
          </cell>
        </row>
        <row r="217">
          <cell r="A217">
            <v>670042</v>
          </cell>
          <cell r="B217" t="str">
            <v>นาย</v>
          </cell>
          <cell r="C217" t="str">
            <v>ปฐม</v>
          </cell>
          <cell r="D217" t="str">
            <v>คิดดี</v>
          </cell>
          <cell r="E217" t="str">
            <v>ผ.ปก.A คธ.</v>
          </cell>
          <cell r="F217" t="str">
            <v>Operation</v>
          </cell>
          <cell r="G217">
            <v>25.902806297056806</v>
          </cell>
          <cell r="H217" t="str">
            <v>Male</v>
          </cell>
          <cell r="I217" t="str">
            <v>ไม่สูบ</v>
          </cell>
          <cell r="J217">
            <v>98</v>
          </cell>
          <cell r="K217">
            <v>172.5</v>
          </cell>
          <cell r="L217">
            <v>77.099999999999994</v>
          </cell>
          <cell r="M217">
            <v>25.910522999369881</v>
          </cell>
          <cell r="N217">
            <v>86</v>
          </cell>
          <cell r="O217" t="str">
            <v>ไม่มี</v>
          </cell>
          <cell r="P217">
            <v>88</v>
          </cell>
          <cell r="Q217">
            <v>198</v>
          </cell>
          <cell r="R217">
            <v>1</v>
          </cell>
          <cell r="S217">
            <v>0</v>
          </cell>
          <cell r="T217">
            <v>0</v>
          </cell>
          <cell r="U217">
            <v>4.9766966392881589</v>
          </cell>
          <cell r="V217">
            <v>0.45503666853361491</v>
          </cell>
          <cell r="W217" t="str">
            <v>ความเสี่ยงต่ำ</v>
          </cell>
        </row>
        <row r="218">
          <cell r="A218">
            <v>470059</v>
          </cell>
          <cell r="B218" t="str">
            <v>นาย</v>
          </cell>
          <cell r="C218" t="str">
            <v>เมธิ์ธัช</v>
          </cell>
          <cell r="D218" t="str">
            <v>อ่อนจันทร์</v>
          </cell>
          <cell r="E218" t="str">
            <v>ผ.ปก.C ปก.</v>
          </cell>
          <cell r="F218" t="str">
            <v>Operation</v>
          </cell>
          <cell r="G218">
            <v>46.245037645448313</v>
          </cell>
          <cell r="H218" t="str">
            <v>Male</v>
          </cell>
          <cell r="I218" t="str">
            <v>ไม่สูบ</v>
          </cell>
          <cell r="J218">
            <v>136</v>
          </cell>
          <cell r="K218">
            <v>177.5</v>
          </cell>
          <cell r="L218">
            <v>72.2</v>
          </cell>
          <cell r="M218">
            <v>22.91608807776235</v>
          </cell>
          <cell r="N218">
            <v>86</v>
          </cell>
          <cell r="O218" t="str">
            <v>ไม่มี</v>
          </cell>
          <cell r="P218">
            <v>83</v>
          </cell>
          <cell r="Q218">
            <v>189</v>
          </cell>
          <cell r="R218">
            <v>1</v>
          </cell>
          <cell r="S218">
            <v>0</v>
          </cell>
          <cell r="T218">
            <v>0</v>
          </cell>
          <cell r="U218">
            <v>7.4141414305270361</v>
          </cell>
          <cell r="V218">
            <v>5.085353014425853</v>
          </cell>
          <cell r="W218" t="str">
            <v>ความเสี่ยงต่ำ</v>
          </cell>
        </row>
        <row r="219">
          <cell r="A219">
            <v>680018</v>
          </cell>
          <cell r="B219" t="str">
            <v>นาย</v>
          </cell>
          <cell r="C219" t="str">
            <v>สรวิชญ์</v>
          </cell>
          <cell r="D219" t="str">
            <v>ศรีเจริญตา</v>
          </cell>
          <cell r="E219" t="str">
            <v>ผบ.วบก.</v>
          </cell>
          <cell r="F219" t="str">
            <v>Maintenance</v>
          </cell>
          <cell r="G219">
            <v>25.242984257357964</v>
          </cell>
          <cell r="H219" t="str">
            <v>Male</v>
          </cell>
          <cell r="I219" t="str">
            <v>ไม่สูบ</v>
          </cell>
          <cell r="J219">
            <v>108</v>
          </cell>
          <cell r="K219">
            <v>171</v>
          </cell>
          <cell r="L219">
            <v>85.4</v>
          </cell>
          <cell r="M219">
            <v>29.205567525050444</v>
          </cell>
          <cell r="N219">
            <v>89</v>
          </cell>
          <cell r="O219" t="str">
            <v>ไม่มี</v>
          </cell>
          <cell r="P219">
            <v>89</v>
          </cell>
          <cell r="Q219">
            <v>237</v>
          </cell>
          <cell r="R219">
            <v>1</v>
          </cell>
          <cell r="S219">
            <v>0</v>
          </cell>
          <cell r="T219">
            <v>0</v>
          </cell>
          <cell r="U219">
            <v>5.2137834017796028</v>
          </cell>
          <cell r="V219">
            <v>0.57643073048723181</v>
          </cell>
          <cell r="W219" t="str">
            <v>ความเสี่ยงต่ำ</v>
          </cell>
        </row>
        <row r="220">
          <cell r="A220">
            <v>570018</v>
          </cell>
          <cell r="B220" t="str">
            <v>นาย</v>
          </cell>
          <cell r="C220" t="str">
            <v>อภิชาติ</v>
          </cell>
          <cell r="D220" t="str">
            <v>ภู่ทองตระกูล</v>
          </cell>
          <cell r="E220" t="str">
            <v>คผ.D ปผ.</v>
          </cell>
          <cell r="F220" t="str">
            <v>Operation</v>
          </cell>
          <cell r="G220">
            <v>36.56947296372347</v>
          </cell>
          <cell r="H220" t="str">
            <v>Male</v>
          </cell>
          <cell r="I220" t="str">
            <v>ไม่สูบ</v>
          </cell>
          <cell r="J220">
            <v>130</v>
          </cell>
          <cell r="K220">
            <v>168</v>
          </cell>
          <cell r="L220">
            <v>67.8</v>
          </cell>
          <cell r="M220">
            <v>24.022108843537417</v>
          </cell>
          <cell r="N220">
            <v>85</v>
          </cell>
          <cell r="O220" t="str">
            <v>โรคภูมิแพ้</v>
          </cell>
          <cell r="P220">
            <v>88</v>
          </cell>
          <cell r="Q220">
            <v>235</v>
          </cell>
          <cell r="R220">
            <v>1</v>
          </cell>
          <cell r="S220">
            <v>0</v>
          </cell>
          <cell r="T220">
            <v>0</v>
          </cell>
          <cell r="U220">
            <v>6.594869972621491</v>
          </cell>
          <cell r="V220">
            <v>2.2741257747837529</v>
          </cell>
          <cell r="W220" t="str">
            <v>ความเสี่ยงต่ำ</v>
          </cell>
        </row>
        <row r="221">
          <cell r="A221">
            <v>550206</v>
          </cell>
          <cell r="B221" t="str">
            <v>นาย</v>
          </cell>
          <cell r="C221" t="str">
            <v>สุรัฐพงศ์</v>
          </cell>
          <cell r="D221" t="str">
            <v>สืบสุข</v>
          </cell>
          <cell r="E221" t="str">
            <v>คผ.C ปล.</v>
          </cell>
          <cell r="F221" t="str">
            <v>Operation</v>
          </cell>
          <cell r="G221">
            <v>33.886379192334012</v>
          </cell>
          <cell r="H221" t="str">
            <v>Male</v>
          </cell>
          <cell r="I221" t="str">
            <v>ไม่สูบ</v>
          </cell>
          <cell r="J221">
            <v>103</v>
          </cell>
          <cell r="K221">
            <v>169</v>
          </cell>
          <cell r="L221">
            <v>55.1</v>
          </cell>
          <cell r="M221">
            <v>19.292041595182241</v>
          </cell>
          <cell r="N221">
            <v>76</v>
          </cell>
          <cell r="O221" t="str">
            <v>ไม่มี</v>
          </cell>
          <cell r="P221">
            <v>81</v>
          </cell>
          <cell r="Q221">
            <v>217</v>
          </cell>
          <cell r="R221">
            <v>1</v>
          </cell>
          <cell r="S221">
            <v>0</v>
          </cell>
          <cell r="T221">
            <v>0</v>
          </cell>
          <cell r="U221">
            <v>5.7744724093086921</v>
          </cell>
          <cell r="V221">
            <v>1.0076475804034035</v>
          </cell>
          <cell r="W221" t="str">
            <v>ความเสี่ยงต่ำ</v>
          </cell>
        </row>
        <row r="222">
          <cell r="A222">
            <v>620078</v>
          </cell>
          <cell r="B222" t="str">
            <v>นางสาว</v>
          </cell>
          <cell r="C222" t="str">
            <v>กนกวรรณ</v>
          </cell>
          <cell r="D222" t="str">
            <v>ฟุ้งพิทักษ์</v>
          </cell>
          <cell r="E222" t="str">
            <v>ปภ.ผยก.</v>
          </cell>
          <cell r="F222" t="str">
            <v>Support</v>
          </cell>
          <cell r="G222">
            <v>29.117043121149898</v>
          </cell>
          <cell r="H222" t="str">
            <v>Female</v>
          </cell>
          <cell r="I222" t="str">
            <v>ไม่สูบ</v>
          </cell>
          <cell r="J222">
            <v>110</v>
          </cell>
          <cell r="K222">
            <v>155.5</v>
          </cell>
          <cell r="L222">
            <v>49.6</v>
          </cell>
          <cell r="M222">
            <v>20.512608430433929</v>
          </cell>
          <cell r="N222">
            <v>64</v>
          </cell>
          <cell r="O222" t="str">
            <v>ไม่มี</v>
          </cell>
          <cell r="P222">
            <v>84</v>
          </cell>
          <cell r="Q222">
            <v>218</v>
          </cell>
          <cell r="R222">
            <v>0</v>
          </cell>
          <cell r="S222">
            <v>0</v>
          </cell>
          <cell r="T222">
            <v>0</v>
          </cell>
          <cell r="U222">
            <v>5.1372076386036962</v>
          </cell>
          <cell r="V222">
            <v>0.53405151028617093</v>
          </cell>
          <cell r="W222" t="str">
            <v>ความเสี่ยงต่ำ</v>
          </cell>
        </row>
        <row r="223">
          <cell r="A223">
            <v>480229</v>
          </cell>
          <cell r="B223" t="str">
            <v>นาย</v>
          </cell>
          <cell r="C223" t="str">
            <v>ดำรง</v>
          </cell>
          <cell r="D223" t="str">
            <v>ขวัญวารี</v>
          </cell>
          <cell r="E223" t="str">
            <v>คผ.A ปต.</v>
          </cell>
          <cell r="F223" t="str">
            <v>Operation</v>
          </cell>
          <cell r="G223">
            <v>44.57494866529774</v>
          </cell>
          <cell r="H223" t="str">
            <v>Male</v>
          </cell>
          <cell r="I223" t="str">
            <v>ไม่สูบ</v>
          </cell>
          <cell r="J223">
            <v>110</v>
          </cell>
          <cell r="K223">
            <v>172</v>
          </cell>
          <cell r="L223">
            <v>73.599999999999994</v>
          </cell>
          <cell r="M223">
            <v>24.878312601406165</v>
          </cell>
          <cell r="N223">
            <v>87</v>
          </cell>
          <cell r="O223" t="str">
            <v>ไม่มี</v>
          </cell>
          <cell r="P223">
            <v>99</v>
          </cell>
          <cell r="Q223">
            <v>326</v>
          </cell>
          <cell r="R223">
            <v>1</v>
          </cell>
          <cell r="S223">
            <v>0</v>
          </cell>
          <cell r="T223">
            <v>0</v>
          </cell>
          <cell r="U223">
            <v>7.0260780492813133</v>
          </cell>
          <cell r="V223">
            <v>3.4786110791726887</v>
          </cell>
          <cell r="W223" t="str">
            <v>ความเสี่ยงต่ำ</v>
          </cell>
        </row>
        <row r="224">
          <cell r="A224">
            <v>490005</v>
          </cell>
          <cell r="B224" t="str">
            <v>นาย</v>
          </cell>
          <cell r="C224" t="str">
            <v>อภิสิทธิ์</v>
          </cell>
          <cell r="D224" t="str">
            <v>พรจำศิลป์</v>
          </cell>
          <cell r="E224" t="str">
            <v>บง.วบก.</v>
          </cell>
          <cell r="F224" t="str">
            <v>Maintenance</v>
          </cell>
          <cell r="G224">
            <v>43.115674195756334</v>
          </cell>
          <cell r="H224" t="str">
            <v>Male</v>
          </cell>
          <cell r="I224" t="str">
            <v>ไม่สูบ</v>
          </cell>
          <cell r="J224">
            <v>139</v>
          </cell>
          <cell r="K224">
            <v>171.5</v>
          </cell>
          <cell r="L224">
            <v>64.099999999999994</v>
          </cell>
          <cell r="M224">
            <v>21.793640404933317</v>
          </cell>
          <cell r="N224">
            <v>70</v>
          </cell>
          <cell r="O224" t="str">
            <v>ไม่มี</v>
          </cell>
          <cell r="P224">
            <v>84</v>
          </cell>
          <cell r="Q224">
            <v>151</v>
          </cell>
          <cell r="R224">
            <v>1</v>
          </cell>
          <cell r="S224">
            <v>0</v>
          </cell>
          <cell r="T224">
            <v>0</v>
          </cell>
          <cell r="U224">
            <v>7.1400256194387408</v>
          </cell>
          <cell r="V224">
            <v>3.8901877831799103</v>
          </cell>
          <cell r="W224" t="str">
            <v>ความเสี่ยงต่ำ</v>
          </cell>
        </row>
        <row r="225">
          <cell r="A225">
            <v>650026</v>
          </cell>
          <cell r="B225" t="str">
            <v>นาย</v>
          </cell>
          <cell r="C225" t="str">
            <v>ณัฐภัทร</v>
          </cell>
          <cell r="D225" t="str">
            <v>มีแจ้ง</v>
          </cell>
          <cell r="E225" t="str">
            <v>ผบ.วบก.</v>
          </cell>
          <cell r="F225" t="str">
            <v>Maintenance</v>
          </cell>
          <cell r="G225">
            <v>27.589322381930174</v>
          </cell>
          <cell r="H225" t="str">
            <v>Male</v>
          </cell>
          <cell r="I225" t="str">
            <v>ไม่สูบ</v>
          </cell>
          <cell r="J225">
            <v>122</v>
          </cell>
          <cell r="K225">
            <v>161</v>
          </cell>
          <cell r="L225">
            <v>74.5</v>
          </cell>
          <cell r="M225">
            <v>28.741175108984994</v>
          </cell>
          <cell r="N225">
            <v>87</v>
          </cell>
          <cell r="O225" t="str">
            <v>ไม่มี</v>
          </cell>
          <cell r="P225">
            <v>78</v>
          </cell>
          <cell r="Q225">
            <v>233</v>
          </cell>
          <cell r="R225">
            <v>1</v>
          </cell>
          <cell r="S225">
            <v>0</v>
          </cell>
          <cell r="T225">
            <v>0</v>
          </cell>
          <cell r="U225">
            <v>5.6890642505133453</v>
          </cell>
          <cell r="V225">
            <v>0.92554196127172528</v>
          </cell>
          <cell r="W225" t="str">
            <v>ความเสี่ยงต่ำ</v>
          </cell>
        </row>
        <row r="226">
          <cell r="A226">
            <v>580214</v>
          </cell>
          <cell r="B226" t="str">
            <v>นาย</v>
          </cell>
          <cell r="C226" t="str">
            <v>ตนุภัทร</v>
          </cell>
          <cell r="D226" t="str">
            <v>วงค์ตาผา</v>
          </cell>
          <cell r="E226" t="str">
            <v>บฟ.วบก.</v>
          </cell>
          <cell r="F226" t="str">
            <v>Maintenance</v>
          </cell>
          <cell r="G226">
            <v>32.358658453114302</v>
          </cell>
          <cell r="H226" t="str">
            <v>Male</v>
          </cell>
          <cell r="I226" t="str">
            <v>ไม่สูบ</v>
          </cell>
          <cell r="J226">
            <v>118</v>
          </cell>
          <cell r="K226">
            <v>175</v>
          </cell>
          <cell r="L226">
            <v>84.5</v>
          </cell>
          <cell r="M226">
            <v>27.591836734693878</v>
          </cell>
          <cell r="N226">
            <v>84</v>
          </cell>
          <cell r="O226" t="str">
            <v>ไม่มี</v>
          </cell>
          <cell r="P226">
            <v>90</v>
          </cell>
          <cell r="Q226">
            <v>233</v>
          </cell>
          <cell r="R226">
            <v>1</v>
          </cell>
          <cell r="S226">
            <v>0</v>
          </cell>
          <cell r="T226">
            <v>0</v>
          </cell>
          <cell r="U226">
            <v>5.9959790212183428</v>
          </cell>
          <cell r="V226">
            <v>1.2559244116848167</v>
          </cell>
          <cell r="W226" t="str">
            <v>ความเสี่ยงต่ำ</v>
          </cell>
        </row>
        <row r="227">
          <cell r="A227">
            <v>610031</v>
          </cell>
          <cell r="B227" t="str">
            <v>นาย</v>
          </cell>
          <cell r="C227" t="str">
            <v>ชนกนันท์</v>
          </cell>
          <cell r="D227" t="str">
            <v>หอนิรันดร์พงศ์</v>
          </cell>
          <cell r="E227" t="str">
            <v>บฟ.วบก.</v>
          </cell>
          <cell r="F227" t="str">
            <v>Maintenance</v>
          </cell>
          <cell r="G227">
            <v>33.921971252566735</v>
          </cell>
          <cell r="H227" t="str">
            <v>Male</v>
          </cell>
          <cell r="I227" t="str">
            <v>ไม่สูบ</v>
          </cell>
          <cell r="J227">
            <v>118</v>
          </cell>
          <cell r="K227">
            <v>168</v>
          </cell>
          <cell r="L227">
            <v>71.2</v>
          </cell>
          <cell r="M227">
            <v>25.226757369614514</v>
          </cell>
          <cell r="N227">
            <v>84</v>
          </cell>
          <cell r="O227" t="str">
            <v>ไม่มี</v>
          </cell>
          <cell r="P227">
            <v>78</v>
          </cell>
          <cell r="Q227">
            <v>244</v>
          </cell>
          <cell r="R227">
            <v>1</v>
          </cell>
          <cell r="S227">
            <v>0</v>
          </cell>
          <cell r="T227">
            <v>0</v>
          </cell>
          <cell r="U227">
            <v>6.1472249075975363</v>
          </cell>
          <cell r="V227">
            <v>1.459491774098165</v>
          </cell>
          <cell r="W227" t="str">
            <v>ความเสี่ยงต่ำ</v>
          </cell>
        </row>
        <row r="228">
          <cell r="A228">
            <v>580271</v>
          </cell>
          <cell r="B228" t="str">
            <v>นาย</v>
          </cell>
          <cell r="C228" t="str">
            <v>สุรศักดิ์</v>
          </cell>
          <cell r="D228" t="str">
            <v>นเรนสด</v>
          </cell>
          <cell r="E228" t="str">
            <v>คผ.D ปผ.</v>
          </cell>
          <cell r="F228" t="str">
            <v>Operation</v>
          </cell>
          <cell r="G228">
            <v>35.600273785078706</v>
          </cell>
          <cell r="H228" t="str">
            <v>Male</v>
          </cell>
          <cell r="I228" t="str">
            <v>ไม่สูบ</v>
          </cell>
          <cell r="J228">
            <v>136</v>
          </cell>
          <cell r="K228">
            <v>179.5</v>
          </cell>
          <cell r="L228">
            <v>76</v>
          </cell>
          <cell r="M228">
            <v>23.587650623443331</v>
          </cell>
          <cell r="N228">
            <v>87</v>
          </cell>
          <cell r="O228" t="str">
            <v>ไม่มี</v>
          </cell>
          <cell r="P228">
            <v>100</v>
          </cell>
          <cell r="Q228">
            <v>265</v>
          </cell>
          <cell r="R228">
            <v>1</v>
          </cell>
          <cell r="S228">
            <v>0</v>
          </cell>
          <cell r="T228">
            <v>0</v>
          </cell>
          <cell r="U228">
            <v>6.7042004038329903</v>
          </cell>
          <cell r="V228">
            <v>2.5335024105600512</v>
          </cell>
          <cell r="W228" t="str">
            <v>ความเสี่ยงต่ำ</v>
          </cell>
        </row>
        <row r="229">
          <cell r="A229">
            <v>490121</v>
          </cell>
          <cell r="B229" t="str">
            <v>นาย</v>
          </cell>
          <cell r="C229" t="str">
            <v>วริทธิ์ธร</v>
          </cell>
          <cell r="D229" t="str">
            <v>นาทธราดล</v>
          </cell>
          <cell r="E229" t="str">
            <v>บง.วบก.</v>
          </cell>
          <cell r="F229" t="str">
            <v>Maintenance</v>
          </cell>
          <cell r="G229">
            <v>41.489390828199859</v>
          </cell>
          <cell r="H229" t="str">
            <v>Male</v>
          </cell>
          <cell r="I229" t="str">
            <v>ไม่สูบ</v>
          </cell>
          <cell r="J229">
            <v>134</v>
          </cell>
          <cell r="K229">
            <v>164</v>
          </cell>
          <cell r="L229">
            <v>86.8</v>
          </cell>
          <cell r="M229">
            <v>32.272456870910169</v>
          </cell>
          <cell r="N229">
            <v>103</v>
          </cell>
          <cell r="O229" t="str">
            <v>ไม่มี</v>
          </cell>
          <cell r="P229">
            <v>87</v>
          </cell>
          <cell r="Q229">
            <v>196</v>
          </cell>
          <cell r="R229">
            <v>1</v>
          </cell>
          <cell r="S229">
            <v>0</v>
          </cell>
          <cell r="T229">
            <v>0</v>
          </cell>
          <cell r="U229">
            <v>6.9981468514715948</v>
          </cell>
          <cell r="V229">
            <v>3.3844339915674371</v>
          </cell>
          <cell r="W229" t="str">
            <v>ความเสี่ยงต่ำ</v>
          </cell>
        </row>
        <row r="230">
          <cell r="A230">
            <v>640132</v>
          </cell>
          <cell r="B230" t="str">
            <v>นาย</v>
          </cell>
          <cell r="C230" t="str">
            <v>นนทกร</v>
          </cell>
          <cell r="D230" t="str">
            <v>บุญยืน</v>
          </cell>
          <cell r="E230" t="str">
            <v>บค.วบก.</v>
          </cell>
          <cell r="F230" t="str">
            <v>Maintenance</v>
          </cell>
          <cell r="G230">
            <v>27.780971937029427</v>
          </cell>
          <cell r="H230" t="str">
            <v>Male</v>
          </cell>
          <cell r="I230" t="str">
            <v>ไม่สูบ</v>
          </cell>
          <cell r="J230">
            <v>127</v>
          </cell>
          <cell r="K230">
            <v>179.5</v>
          </cell>
          <cell r="L230">
            <v>88.7</v>
          </cell>
          <cell r="M230">
            <v>27.529271188150311</v>
          </cell>
          <cell r="N230">
            <v>94</v>
          </cell>
          <cell r="O230" t="str">
            <v>ไทรอยด์</v>
          </cell>
          <cell r="P230">
            <v>82</v>
          </cell>
          <cell r="Q230">
            <v>232</v>
          </cell>
          <cell r="R230">
            <v>1</v>
          </cell>
          <cell r="S230">
            <v>0</v>
          </cell>
          <cell r="T230">
            <v>0</v>
          </cell>
          <cell r="U230">
            <v>5.8068269336071179</v>
          </cell>
          <cell r="V230">
            <v>1.0406096881732108</v>
          </cell>
          <cell r="W230" t="str">
            <v>ความเสี่ยงต่ำ</v>
          </cell>
        </row>
        <row r="231">
          <cell r="A231">
            <v>610156</v>
          </cell>
          <cell r="B231" t="str">
            <v>นางสาว</v>
          </cell>
          <cell r="C231" t="str">
            <v>ศกลวรรณ</v>
          </cell>
          <cell r="D231" t="str">
            <v>กุลจรัส</v>
          </cell>
          <cell r="E231" t="str">
            <v>กช.บรก.</v>
          </cell>
          <cell r="F231" t="str">
            <v>Support</v>
          </cell>
          <cell r="G231">
            <v>37.689253935660503</v>
          </cell>
          <cell r="H231" t="str">
            <v>Female</v>
          </cell>
          <cell r="I231" t="str">
            <v>ไม่สูบ</v>
          </cell>
          <cell r="J231">
            <v>134</v>
          </cell>
          <cell r="K231">
            <v>162</v>
          </cell>
          <cell r="L231">
            <v>73.400000000000006</v>
          </cell>
          <cell r="M231">
            <v>27.96829751562262</v>
          </cell>
          <cell r="N231">
            <v>81</v>
          </cell>
          <cell r="O231" t="str">
            <v>ไม่มี</v>
          </cell>
          <cell r="P231">
            <v>95</v>
          </cell>
          <cell r="Q231">
            <v>204</v>
          </cell>
          <cell r="R231">
            <v>0</v>
          </cell>
          <cell r="S231">
            <v>0</v>
          </cell>
          <cell r="T231">
            <v>0</v>
          </cell>
          <cell r="U231">
            <v>6.3091516495550994</v>
          </cell>
          <cell r="V231">
            <v>1.7138225839450016</v>
          </cell>
          <cell r="W231" t="str">
            <v>ความเสี่ยงต่ำ</v>
          </cell>
        </row>
        <row r="232">
          <cell r="A232">
            <v>650098</v>
          </cell>
          <cell r="B232" t="str">
            <v>นางสาว</v>
          </cell>
          <cell r="C232" t="str">
            <v>รักษิณา</v>
          </cell>
          <cell r="D232" t="str">
            <v>พรหมพันธ์</v>
          </cell>
          <cell r="E232" t="str">
            <v>ทน.ทผก.</v>
          </cell>
          <cell r="F232" t="str">
            <v>Support</v>
          </cell>
          <cell r="G232">
            <v>29.577002053388089</v>
          </cell>
          <cell r="H232" t="str">
            <v>Female</v>
          </cell>
          <cell r="I232" t="str">
            <v>ไม่สูบ</v>
          </cell>
          <cell r="J232">
            <v>102</v>
          </cell>
          <cell r="K232">
            <v>168</v>
          </cell>
          <cell r="L232">
            <v>57.1</v>
          </cell>
          <cell r="M232">
            <v>20.231009070294782</v>
          </cell>
          <cell r="N232">
            <v>70</v>
          </cell>
          <cell r="O232" t="str">
            <v>ไม่มี</v>
          </cell>
          <cell r="P232">
            <v>80</v>
          </cell>
          <cell r="Q232">
            <v>228</v>
          </cell>
          <cell r="R232">
            <v>0</v>
          </cell>
          <cell r="S232">
            <v>0</v>
          </cell>
          <cell r="T232">
            <v>0</v>
          </cell>
          <cell r="U232">
            <v>5.0293260780287481</v>
          </cell>
          <cell r="V232">
            <v>0.47956733483256464</v>
          </cell>
          <cell r="W232" t="str">
            <v>ความเสี่ยงต่ำ</v>
          </cell>
        </row>
        <row r="233">
          <cell r="A233">
            <v>480209</v>
          </cell>
          <cell r="B233" t="str">
            <v>นาย</v>
          </cell>
          <cell r="C233" t="str">
            <v>วาทิต</v>
          </cell>
          <cell r="D233" t="str">
            <v>วัชโรทยาน</v>
          </cell>
          <cell r="E233" t="str">
            <v>คผ.C ปผ.</v>
          </cell>
          <cell r="F233" t="str">
            <v>Operation</v>
          </cell>
          <cell r="G233">
            <v>41.54414784394249</v>
          </cell>
          <cell r="H233" t="str">
            <v>Male</v>
          </cell>
          <cell r="I233" t="str">
            <v>ไม่ระบุ</v>
          </cell>
          <cell r="J233">
            <v>135</v>
          </cell>
          <cell r="K233">
            <v>184.5</v>
          </cell>
          <cell r="L233">
            <v>87.7</v>
          </cell>
          <cell r="M233">
            <v>25.763618069785032</v>
          </cell>
          <cell r="N233">
            <v>97</v>
          </cell>
          <cell r="O233" t="str">
            <v>ไม่มี</v>
          </cell>
          <cell r="P233">
            <v>77</v>
          </cell>
          <cell r="Q233">
            <v>165</v>
          </cell>
          <cell r="R233">
            <v>1</v>
          </cell>
          <cell r="S233">
            <v>1</v>
          </cell>
          <cell r="T233">
            <v>0</v>
          </cell>
          <cell r="U233">
            <v>7.3769076180698141</v>
          </cell>
          <cell r="V233">
            <v>4.9041230111969369</v>
          </cell>
          <cell r="W233" t="str">
            <v>ความเสี่ยงต่ำ</v>
          </cell>
        </row>
        <row r="234">
          <cell r="A234">
            <v>360077</v>
          </cell>
          <cell r="B234" t="str">
            <v>นาย</v>
          </cell>
          <cell r="C234" t="str">
            <v>สุเทพ</v>
          </cell>
          <cell r="D234" t="str">
            <v>มีใจดี</v>
          </cell>
          <cell r="E234" t="str">
            <v>กช.บรก.</v>
          </cell>
          <cell r="F234" t="str">
            <v>Support</v>
          </cell>
          <cell r="G234">
            <v>54.475017111567411</v>
          </cell>
          <cell r="H234" t="str">
            <v>Male</v>
          </cell>
          <cell r="I234" t="str">
            <v>ไม่สูบ</v>
          </cell>
          <cell r="J234">
            <v>111</v>
          </cell>
          <cell r="K234">
            <v>179.5</v>
          </cell>
          <cell r="L234">
            <v>68.599999999999994</v>
          </cell>
          <cell r="M234">
            <v>21.290958325897531</v>
          </cell>
          <cell r="N234">
            <v>80</v>
          </cell>
          <cell r="O234" t="str">
            <v>ไม่มี</v>
          </cell>
          <cell r="P234">
            <v>94</v>
          </cell>
          <cell r="Q234">
            <v>192</v>
          </cell>
          <cell r="R234">
            <v>1</v>
          </cell>
          <cell r="S234">
            <v>0</v>
          </cell>
          <cell r="T234">
            <v>0</v>
          </cell>
          <cell r="U234">
            <v>7.5729606502395619</v>
          </cell>
          <cell r="V234">
            <v>5.9342122457764273</v>
          </cell>
          <cell r="W234" t="str">
            <v>ความเสี่ยงต่ำ</v>
          </cell>
        </row>
        <row r="235">
          <cell r="A235">
            <v>660039</v>
          </cell>
          <cell r="B235" t="str">
            <v>นางสาว</v>
          </cell>
          <cell r="C235" t="str">
            <v>ธนิดา</v>
          </cell>
          <cell r="D235" t="str">
            <v>สรรมณี</v>
          </cell>
          <cell r="E235" t="str">
            <v>บร.บรก.</v>
          </cell>
          <cell r="F235" t="str">
            <v>Support</v>
          </cell>
          <cell r="G235">
            <v>32.344969199178642</v>
          </cell>
          <cell r="H235" t="str">
            <v>Female</v>
          </cell>
          <cell r="I235" t="str">
            <v>ไม่สูบ</v>
          </cell>
          <cell r="J235">
            <v>100</v>
          </cell>
          <cell r="K235">
            <v>159</v>
          </cell>
          <cell r="L235">
            <v>55.7</v>
          </cell>
          <cell r="M235">
            <v>22.032356315019182</v>
          </cell>
          <cell r="N235">
            <v>73</v>
          </cell>
          <cell r="O235" t="str">
            <v>โรคภูมิแพ้อากาศ</v>
          </cell>
          <cell r="P235">
            <v>91</v>
          </cell>
          <cell r="Q235">
            <v>213</v>
          </cell>
          <cell r="R235">
            <v>0</v>
          </cell>
          <cell r="S235">
            <v>0</v>
          </cell>
          <cell r="T235">
            <v>0</v>
          </cell>
          <cell r="U235">
            <v>5.1823488295687881</v>
          </cell>
          <cell r="V235">
            <v>0.55864263107254786</v>
          </cell>
          <cell r="W235" t="str">
            <v>ความเสี่ยงต่ำ</v>
          </cell>
        </row>
        <row r="236">
          <cell r="A236">
            <v>540100</v>
          </cell>
          <cell r="B236" t="str">
            <v>นางสาว</v>
          </cell>
          <cell r="C236" t="str">
            <v>ปัญจรี</v>
          </cell>
          <cell r="D236" t="str">
            <v>บุญติด</v>
          </cell>
          <cell r="E236" t="str">
            <v>รส.บรก.</v>
          </cell>
          <cell r="F236" t="str">
            <v>Support</v>
          </cell>
          <cell r="G236">
            <v>42.349075975359341</v>
          </cell>
          <cell r="H236" t="str">
            <v>Female</v>
          </cell>
          <cell r="I236" t="str">
            <v>ไม่สูบ</v>
          </cell>
          <cell r="J236">
            <v>103</v>
          </cell>
          <cell r="K236">
            <v>158.5</v>
          </cell>
          <cell r="L236">
            <v>52.9</v>
          </cell>
          <cell r="M236">
            <v>21.057031117833791</v>
          </cell>
          <cell r="N236">
            <v>70</v>
          </cell>
          <cell r="O236" t="str">
            <v>ไม่มี</v>
          </cell>
          <cell r="P236">
            <v>82</v>
          </cell>
          <cell r="Q236">
            <v>207</v>
          </cell>
          <cell r="R236">
            <v>0</v>
          </cell>
          <cell r="S236">
            <v>0</v>
          </cell>
          <cell r="T236">
            <v>0</v>
          </cell>
          <cell r="U236">
            <v>6.0507848870636556</v>
          </cell>
          <cell r="V236">
            <v>1.3262063727924156</v>
          </cell>
          <cell r="W236" t="str">
            <v>ความเสี่ยงต่ำ</v>
          </cell>
        </row>
        <row r="237">
          <cell r="A237">
            <v>570065</v>
          </cell>
          <cell r="B237" t="str">
            <v>นาย</v>
          </cell>
          <cell r="C237" t="str">
            <v>ประกิจ</v>
          </cell>
          <cell r="D237" t="str">
            <v>ปลั่งกลาง</v>
          </cell>
          <cell r="E237" t="str">
            <v>อท.บรก.</v>
          </cell>
          <cell r="F237" t="str">
            <v>Support</v>
          </cell>
          <cell r="G237">
            <v>39.091033538672143</v>
          </cell>
          <cell r="H237" t="str">
            <v>Male</v>
          </cell>
          <cell r="I237" t="str">
            <v>ไม่สูบ</v>
          </cell>
          <cell r="J237">
            <v>124</v>
          </cell>
          <cell r="K237">
            <v>168.5</v>
          </cell>
          <cell r="L237">
            <v>80.400000000000006</v>
          </cell>
          <cell r="M237">
            <v>28.317586665375234</v>
          </cell>
          <cell r="N237">
            <v>100</v>
          </cell>
          <cell r="O237" t="str">
            <v>โรคไมเกรน</v>
          </cell>
          <cell r="P237">
            <v>93</v>
          </cell>
          <cell r="Q237">
            <v>235</v>
          </cell>
          <cell r="R237">
            <v>1</v>
          </cell>
          <cell r="S237">
            <v>0</v>
          </cell>
          <cell r="T237">
            <v>0</v>
          </cell>
          <cell r="U237">
            <v>6.6761692744695411</v>
          </cell>
          <cell r="V237">
            <v>2.464341762174449</v>
          </cell>
          <cell r="W237" t="str">
            <v>ความเสี่ยงต่ำ</v>
          </cell>
        </row>
        <row r="238">
          <cell r="A238">
            <v>620005</v>
          </cell>
          <cell r="B238" t="str">
            <v>นาย</v>
          </cell>
          <cell r="C238" t="str">
            <v>วัชรพงษ์</v>
          </cell>
          <cell r="D238" t="str">
            <v>ฟูประทีปศิริ</v>
          </cell>
          <cell r="E238" t="str">
            <v>อท.บรก.</v>
          </cell>
          <cell r="F238" t="str">
            <v>Support</v>
          </cell>
          <cell r="G238">
            <v>36.856947296372333</v>
          </cell>
          <cell r="H238" t="str">
            <v>Male</v>
          </cell>
          <cell r="I238" t="str">
            <v>ไม่สูบ</v>
          </cell>
          <cell r="J238">
            <v>109</v>
          </cell>
          <cell r="K238">
            <v>172.5</v>
          </cell>
          <cell r="L238">
            <v>60.7</v>
          </cell>
          <cell r="M238">
            <v>20.399075824406637</v>
          </cell>
          <cell r="N238">
            <v>69</v>
          </cell>
          <cell r="O238" t="str">
            <v>ไม่มี</v>
          </cell>
          <cell r="P238">
            <v>86</v>
          </cell>
          <cell r="Q238">
            <v>240</v>
          </cell>
          <cell r="R238">
            <v>1</v>
          </cell>
          <cell r="S238">
            <v>0</v>
          </cell>
          <cell r="T238">
            <v>0</v>
          </cell>
          <cell r="U238">
            <v>6.1913539972621479</v>
          </cell>
          <cell r="V238">
            <v>1.5248354891809202</v>
          </cell>
          <cell r="W238" t="str">
            <v>ความเสี่ยงต่ำ</v>
          </cell>
        </row>
        <row r="239">
          <cell r="A239">
            <v>470062</v>
          </cell>
          <cell r="B239" t="str">
            <v>นาย</v>
          </cell>
          <cell r="C239" t="str">
            <v>บวรกฤษฏิ์</v>
          </cell>
          <cell r="D239" t="str">
            <v>ฉากพิมายทวีกุล</v>
          </cell>
          <cell r="E239" t="str">
            <v>คผ.B ปล.</v>
          </cell>
          <cell r="F239" t="str">
            <v>Operation</v>
          </cell>
          <cell r="G239">
            <v>45.826146475017111</v>
          </cell>
          <cell r="H239" t="str">
            <v>Male</v>
          </cell>
          <cell r="I239" t="str">
            <v>ไม่สูบ</v>
          </cell>
          <cell r="J239">
            <v>133</v>
          </cell>
          <cell r="K239">
            <v>158</v>
          </cell>
          <cell r="L239">
            <v>85.5</v>
          </cell>
          <cell r="M239">
            <v>34.249319019387919</v>
          </cell>
          <cell r="N239">
            <v>102</v>
          </cell>
          <cell r="O239" t="str">
            <v>โรคความดันโลหิตสูง</v>
          </cell>
          <cell r="P239">
            <v>78</v>
          </cell>
          <cell r="Q239">
            <v>211</v>
          </cell>
          <cell r="R239">
            <v>1</v>
          </cell>
          <cell r="S239">
            <v>0</v>
          </cell>
          <cell r="T239">
            <v>0</v>
          </cell>
          <cell r="U239">
            <v>7.363983566050651</v>
          </cell>
          <cell r="V239">
            <v>4.842699878630274</v>
          </cell>
          <cell r="W239" t="str">
            <v>ความเสี่ยงต่ำ</v>
          </cell>
        </row>
        <row r="240">
          <cell r="A240">
            <v>560118</v>
          </cell>
          <cell r="B240" t="str">
            <v>นาย</v>
          </cell>
          <cell r="C240" t="str">
            <v>ธีระศักดิ์</v>
          </cell>
          <cell r="D240" t="str">
            <v>จิตรตรง</v>
          </cell>
          <cell r="E240" t="str">
            <v>คผ.B ปต.</v>
          </cell>
          <cell r="F240" t="str">
            <v>Operation</v>
          </cell>
          <cell r="G240">
            <v>34.724161533196444</v>
          </cell>
          <cell r="H240" t="str">
            <v>Male</v>
          </cell>
          <cell r="I240" t="str">
            <v>ไม่สูบ</v>
          </cell>
          <cell r="J240">
            <v>120</v>
          </cell>
          <cell r="K240">
            <v>180.5</v>
          </cell>
          <cell r="L240">
            <v>84.6</v>
          </cell>
          <cell r="M240">
            <v>25.966651575724558</v>
          </cell>
          <cell r="N240">
            <v>92</v>
          </cell>
          <cell r="O240" t="str">
            <v>ไม่มี</v>
          </cell>
          <cell r="P240">
            <v>94</v>
          </cell>
          <cell r="Q240">
            <v>229</v>
          </cell>
          <cell r="R240">
            <v>1</v>
          </cell>
          <cell r="S240">
            <v>0</v>
          </cell>
          <cell r="T240">
            <v>0</v>
          </cell>
          <cell r="U240">
            <v>6.2227481382614647</v>
          </cell>
          <cell r="V240">
            <v>1.5730812609709099</v>
          </cell>
          <cell r="W240" t="str">
            <v>ความเสี่ยงต่ำ</v>
          </cell>
        </row>
        <row r="241">
          <cell r="A241">
            <v>650044</v>
          </cell>
          <cell r="B241" t="str">
            <v>นาย</v>
          </cell>
          <cell r="C241" t="str">
            <v>นพรุจน์</v>
          </cell>
          <cell r="D241" t="str">
            <v>หงษ์อุบล</v>
          </cell>
          <cell r="E241" t="str">
            <v>ปภ.ผยก.</v>
          </cell>
          <cell r="F241" t="str">
            <v>Support</v>
          </cell>
          <cell r="G241">
            <v>27.096509240246398</v>
          </cell>
          <cell r="H241" t="str">
            <v>Male</v>
          </cell>
          <cell r="I241" t="str">
            <v>ไม่สูบ</v>
          </cell>
          <cell r="J241">
            <v>122</v>
          </cell>
          <cell r="K241">
            <v>171</v>
          </cell>
          <cell r="L241">
            <v>65.3</v>
          </cell>
          <cell r="M241">
            <v>22.331657604049106</v>
          </cell>
          <cell r="N241">
            <v>80</v>
          </cell>
          <cell r="O241" t="str">
            <v>ไม่มี</v>
          </cell>
          <cell r="P241">
            <v>90</v>
          </cell>
          <cell r="Q241">
            <v>188</v>
          </cell>
          <cell r="R241">
            <v>1</v>
          </cell>
          <cell r="S241">
            <v>0</v>
          </cell>
          <cell r="T241">
            <v>0</v>
          </cell>
          <cell r="U241">
            <v>5.5533373511293629</v>
          </cell>
          <cell r="V241">
            <v>0.80854941237140654</v>
          </cell>
          <cell r="W241" t="str">
            <v>ความเสี่ยงต่ำ</v>
          </cell>
        </row>
        <row r="242">
          <cell r="A242">
            <v>550209</v>
          </cell>
          <cell r="B242" t="str">
            <v>นาย</v>
          </cell>
          <cell r="C242" t="str">
            <v>บุญญรักษ์</v>
          </cell>
          <cell r="D242" t="str">
            <v>มาขำ</v>
          </cell>
          <cell r="E242" t="str">
            <v>บง.วบก.</v>
          </cell>
          <cell r="F242" t="str">
            <v>Maintenance</v>
          </cell>
          <cell r="G242">
            <v>36.607802874743321</v>
          </cell>
          <cell r="H242" t="str">
            <v>Male</v>
          </cell>
          <cell r="I242" t="str">
            <v>ไม่สูบ</v>
          </cell>
          <cell r="J242">
            <v>115</v>
          </cell>
          <cell r="K242">
            <v>174</v>
          </cell>
          <cell r="L242">
            <v>68.900000000000006</v>
          </cell>
          <cell r="M242">
            <v>22.757299511163957</v>
          </cell>
          <cell r="N242">
            <v>76</v>
          </cell>
          <cell r="O242" t="str">
            <v>ไม่มี</v>
          </cell>
          <cell r="P242">
            <v>82</v>
          </cell>
          <cell r="Q242">
            <v>257</v>
          </cell>
          <cell r="R242">
            <v>1</v>
          </cell>
          <cell r="S242">
            <v>0</v>
          </cell>
          <cell r="T242">
            <v>0</v>
          </cell>
          <cell r="U242">
            <v>6.3320465092402456</v>
          </cell>
          <cell r="V242">
            <v>1.7531629840574769</v>
          </cell>
          <cell r="W242" t="str">
            <v>ความเสี่ยงต่ำ</v>
          </cell>
        </row>
        <row r="243">
          <cell r="A243">
            <v>490031</v>
          </cell>
          <cell r="B243" t="str">
            <v>นาย</v>
          </cell>
          <cell r="C243" t="str">
            <v>กอบศักดิ์</v>
          </cell>
          <cell r="D243" t="str">
            <v>แซ่กอ</v>
          </cell>
          <cell r="E243" t="str">
            <v>บฟ.วบก.</v>
          </cell>
          <cell r="F243" t="str">
            <v>Maintenance</v>
          </cell>
          <cell r="G243">
            <v>41.952087611225181</v>
          </cell>
          <cell r="H243" t="str">
            <v>Male</v>
          </cell>
          <cell r="I243" t="str">
            <v>ไม่สูบ</v>
          </cell>
          <cell r="J243">
            <v>133</v>
          </cell>
          <cell r="K243">
            <v>168</v>
          </cell>
          <cell r="L243">
            <v>91.4</v>
          </cell>
          <cell r="M243">
            <v>32.38378684807256</v>
          </cell>
          <cell r="N243">
            <v>103</v>
          </cell>
          <cell r="O243" t="str">
            <v>โรคภูมิแพ้</v>
          </cell>
          <cell r="P243">
            <v>110</v>
          </cell>
          <cell r="Q243">
            <v>294</v>
          </cell>
          <cell r="R243">
            <v>1</v>
          </cell>
          <cell r="S243">
            <v>0</v>
          </cell>
          <cell r="T243">
            <v>0</v>
          </cell>
          <cell r="U243">
            <v>7.2229293292265568</v>
          </cell>
          <cell r="V243">
            <v>4.2192530466025335</v>
          </cell>
          <cell r="W243" t="str">
            <v>ความเสี่ยงต่ำ</v>
          </cell>
        </row>
        <row r="244">
          <cell r="A244">
            <v>490050</v>
          </cell>
          <cell r="B244" t="str">
            <v>นาย</v>
          </cell>
          <cell r="C244" t="str">
            <v>สิงหล</v>
          </cell>
          <cell r="D244" t="str">
            <v>ชาญสมร</v>
          </cell>
          <cell r="E244" t="str">
            <v>บฟ.วบก.</v>
          </cell>
          <cell r="F244" t="str">
            <v>Maintenance</v>
          </cell>
          <cell r="G244">
            <v>44.139630390143729</v>
          </cell>
          <cell r="H244" t="str">
            <v>Male</v>
          </cell>
          <cell r="I244" t="str">
            <v>ไม่สูบ</v>
          </cell>
          <cell r="J244">
            <v>126</v>
          </cell>
          <cell r="K244">
            <v>165.5</v>
          </cell>
          <cell r="L244">
            <v>61.7</v>
          </cell>
          <cell r="M244">
            <v>22.526263907777402</v>
          </cell>
          <cell r="N244">
            <v>72</v>
          </cell>
          <cell r="O244" t="str">
            <v>ไม่มี</v>
          </cell>
          <cell r="P244">
            <v>89</v>
          </cell>
          <cell r="Q244">
            <v>277</v>
          </cell>
          <cell r="R244">
            <v>1</v>
          </cell>
          <cell r="S244">
            <v>0</v>
          </cell>
          <cell r="T244">
            <v>0</v>
          </cell>
          <cell r="U244">
            <v>7.2200159548254614</v>
          </cell>
          <cell r="V244">
            <v>4.2072405823077812</v>
          </cell>
          <cell r="W244" t="str">
            <v>ความเสี่ยงต่ำ</v>
          </cell>
        </row>
        <row r="245">
          <cell r="A245">
            <v>350062</v>
          </cell>
          <cell r="B245" t="str">
            <v>นาย</v>
          </cell>
          <cell r="C245" t="str">
            <v>ยุทธนา</v>
          </cell>
          <cell r="D245" t="str">
            <v>อ่ำกลิ่น</v>
          </cell>
          <cell r="E245" t="str">
            <v>คผ.D ปผ.</v>
          </cell>
          <cell r="F245" t="str">
            <v>Operation</v>
          </cell>
          <cell r="G245">
            <v>54.291581108829561</v>
          </cell>
          <cell r="H245" t="str">
            <v>Male</v>
          </cell>
          <cell r="I245" t="str">
            <v>ไม่สูบ</v>
          </cell>
          <cell r="J245">
            <v>116</v>
          </cell>
          <cell r="K245">
            <v>172.5</v>
          </cell>
          <cell r="L245">
            <v>81.099999999999994</v>
          </cell>
          <cell r="M245">
            <v>27.254778407897501</v>
          </cell>
          <cell r="N245">
            <v>90</v>
          </cell>
          <cell r="O245" t="str">
            <v>ไม่มี</v>
          </cell>
          <cell r="P245">
            <v>93</v>
          </cell>
          <cell r="Q245">
            <v>231</v>
          </cell>
          <cell r="R245">
            <v>1</v>
          </cell>
          <cell r="S245">
            <v>0</v>
          </cell>
          <cell r="T245">
            <v>0</v>
          </cell>
          <cell r="U245">
            <v>7.7448300821355227</v>
          </cell>
          <cell r="V245">
            <v>7.0071549101494597</v>
          </cell>
          <cell r="W245" t="str">
            <v>ความเสี่ยงต่ำ</v>
          </cell>
        </row>
        <row r="246">
          <cell r="A246">
            <v>540227</v>
          </cell>
          <cell r="B246" t="str">
            <v>นาย</v>
          </cell>
          <cell r="C246" t="str">
            <v>คามิน</v>
          </cell>
          <cell r="D246" t="str">
            <v>ปิยะกมลนิรันดร์</v>
          </cell>
          <cell r="E246" t="str">
            <v>บค.วบก.</v>
          </cell>
          <cell r="F246" t="str">
            <v>Maintenance</v>
          </cell>
          <cell r="G246">
            <v>36.758384668035589</v>
          </cell>
          <cell r="H246" t="str">
            <v>Male</v>
          </cell>
          <cell r="I246" t="str">
            <v>ไม่สูบ</v>
          </cell>
          <cell r="J246">
            <v>137</v>
          </cell>
          <cell r="K246">
            <v>182</v>
          </cell>
          <cell r="L246">
            <v>86.1</v>
          </cell>
          <cell r="M246">
            <v>25.993237531699069</v>
          </cell>
          <cell r="N246">
            <v>98</v>
          </cell>
          <cell r="O246" t="str">
            <v>ไม่มี</v>
          </cell>
          <cell r="P246">
            <v>82</v>
          </cell>
          <cell r="Q246">
            <v>176</v>
          </cell>
          <cell r="R246">
            <v>1</v>
          </cell>
          <cell r="S246">
            <v>0</v>
          </cell>
          <cell r="T246">
            <v>0</v>
          </cell>
          <cell r="U246">
            <v>6.6311286173853521</v>
          </cell>
          <cell r="V246">
            <v>2.3570982561858189</v>
          </cell>
          <cell r="W246" t="str">
            <v>ความเสี่ยงต่ำ</v>
          </cell>
        </row>
        <row r="247">
          <cell r="A247">
            <v>490026</v>
          </cell>
          <cell r="B247" t="str">
            <v>นาย</v>
          </cell>
          <cell r="C247" t="str">
            <v>ประดับ</v>
          </cell>
          <cell r="D247" t="str">
            <v>มีสี</v>
          </cell>
          <cell r="E247" t="str">
            <v>ผ.บพ.พย.</v>
          </cell>
          <cell r="F247" t="str">
            <v>Support</v>
          </cell>
          <cell r="G247">
            <v>45.719370294318949</v>
          </cell>
          <cell r="H247" t="str">
            <v>Male</v>
          </cell>
          <cell r="I247" t="str">
            <v>ไม่สูบ</v>
          </cell>
          <cell r="J247">
            <v>129</v>
          </cell>
          <cell r="K247">
            <v>163.5</v>
          </cell>
          <cell r="L247">
            <v>70</v>
          </cell>
          <cell r="M247">
            <v>26.185599790515202</v>
          </cell>
          <cell r="N247">
            <v>83</v>
          </cell>
          <cell r="O247" t="str">
            <v>โรคภูมิแพ้</v>
          </cell>
          <cell r="P247">
            <v>84</v>
          </cell>
          <cell r="Q247">
            <v>175</v>
          </cell>
          <cell r="R247">
            <v>1</v>
          </cell>
          <cell r="S247">
            <v>0</v>
          </cell>
          <cell r="T247">
            <v>0</v>
          </cell>
          <cell r="U247">
            <v>7.1955660711841194</v>
          </cell>
          <cell r="V247">
            <v>4.1077380564610522</v>
          </cell>
          <cell r="W247" t="str">
            <v>ความเสี่ยงต่ำ</v>
          </cell>
        </row>
        <row r="248">
          <cell r="A248">
            <v>560119</v>
          </cell>
          <cell r="B248" t="str">
            <v>นาย</v>
          </cell>
          <cell r="C248" t="str">
            <v>ดุลยวัต</v>
          </cell>
          <cell r="D248" t="str">
            <v>เกตุรัตน์</v>
          </cell>
          <cell r="E248" t="str">
            <v>คผ.B ปล.</v>
          </cell>
          <cell r="F248" t="str">
            <v>Operation</v>
          </cell>
          <cell r="G248">
            <v>33.437371663244349</v>
          </cell>
          <cell r="H248" t="str">
            <v>Male</v>
          </cell>
          <cell r="I248" t="str">
            <v>ไม่สูบ</v>
          </cell>
          <cell r="J248">
            <v>112</v>
          </cell>
          <cell r="K248">
            <v>179.5</v>
          </cell>
          <cell r="L248">
            <v>74.400000000000006</v>
          </cell>
          <cell r="M248">
            <v>23.091068505055052</v>
          </cell>
          <cell r="N248">
            <v>82</v>
          </cell>
          <cell r="O248" t="str">
            <v>ไม่มี</v>
          </cell>
          <cell r="P248">
            <v>84</v>
          </cell>
          <cell r="Q248">
            <v>249</v>
          </cell>
          <cell r="R248">
            <v>1</v>
          </cell>
          <cell r="S248">
            <v>0</v>
          </cell>
          <cell r="T248">
            <v>0</v>
          </cell>
          <cell r="U248">
            <v>5.9931301232032848</v>
          </cell>
          <cell r="V248">
            <v>1.2523739701751246</v>
          </cell>
          <cell r="W248" t="str">
            <v>ความเสี่ยงต่ำ</v>
          </cell>
        </row>
        <row r="249">
          <cell r="A249">
            <v>480044</v>
          </cell>
          <cell r="B249" t="str">
            <v>นาย</v>
          </cell>
          <cell r="C249" t="str">
            <v>สิรภพ</v>
          </cell>
          <cell r="D249" t="str">
            <v>บำเพ็ญผล</v>
          </cell>
          <cell r="E249" t="str">
            <v>คผ.A ปผ.</v>
          </cell>
          <cell r="F249" t="str">
            <v>Operation</v>
          </cell>
          <cell r="G249">
            <v>44.484599589322364</v>
          </cell>
          <cell r="H249" t="str">
            <v>Male</v>
          </cell>
          <cell r="I249" t="str">
            <v>ไม่สูบ</v>
          </cell>
          <cell r="J249">
            <v>140</v>
          </cell>
          <cell r="K249">
            <v>178.5</v>
          </cell>
          <cell r="L249">
            <v>76.400000000000006</v>
          </cell>
          <cell r="M249">
            <v>23.978218738475782</v>
          </cell>
          <cell r="N249">
            <v>89</v>
          </cell>
          <cell r="O249" t="str">
            <v>ไม่มี</v>
          </cell>
          <cell r="P249">
            <v>87</v>
          </cell>
          <cell r="Q249">
            <v>223</v>
          </cell>
          <cell r="R249">
            <v>1</v>
          </cell>
          <cell r="S249">
            <v>0</v>
          </cell>
          <cell r="T249">
            <v>0</v>
          </cell>
          <cell r="U249">
            <v>7.4255247843942493</v>
          </cell>
          <cell r="V249">
            <v>5.1420491078961632</v>
          </cell>
          <cell r="W249" t="str">
            <v>ความเสี่ยงต่ำ</v>
          </cell>
        </row>
        <row r="250">
          <cell r="A250">
            <v>340048</v>
          </cell>
          <cell r="B250" t="str">
            <v>นางสาว</v>
          </cell>
          <cell r="C250" t="str">
            <v>วาสนา</v>
          </cell>
          <cell r="D250" t="str">
            <v>ไหมทอง</v>
          </cell>
          <cell r="E250" t="str">
            <v>พย.บรก.</v>
          </cell>
          <cell r="F250" t="str">
            <v>Support</v>
          </cell>
          <cell r="G250">
            <v>56.980150581793282</v>
          </cell>
          <cell r="H250" t="str">
            <v>Female</v>
          </cell>
          <cell r="I250" t="str">
            <v>ไม่สูบ</v>
          </cell>
          <cell r="J250">
            <v>113</v>
          </cell>
          <cell r="K250">
            <v>158.5</v>
          </cell>
          <cell r="L250">
            <v>57.6</v>
          </cell>
          <cell r="M250">
            <v>22.927882653822806</v>
          </cell>
          <cell r="N250">
            <v>67</v>
          </cell>
          <cell r="O250" t="str">
            <v>โรคภูมิแพ้</v>
          </cell>
          <cell r="P250">
            <v>88</v>
          </cell>
          <cell r="Q250">
            <v>306</v>
          </cell>
          <cell r="R250">
            <v>0</v>
          </cell>
          <cell r="S250">
            <v>0</v>
          </cell>
          <cell r="T250">
            <v>0</v>
          </cell>
          <cell r="U250">
            <v>7.6663257221081444</v>
          </cell>
          <cell r="V250">
            <v>6.4956840664238786</v>
          </cell>
          <cell r="W250" t="str">
            <v>ความเสี่ยงต่ำ</v>
          </cell>
        </row>
        <row r="251">
          <cell r="A251">
            <v>660063</v>
          </cell>
          <cell r="B251" t="str">
            <v>นางสาว</v>
          </cell>
          <cell r="C251" t="str">
            <v>ภาสินี</v>
          </cell>
          <cell r="D251" t="str">
            <v>ผดุงชีวิต</v>
          </cell>
          <cell r="E251" t="str">
            <v>ปภ.ผยก.</v>
          </cell>
          <cell r="F251" t="str">
            <v>Support</v>
          </cell>
          <cell r="G251">
            <v>28.344969199178639</v>
          </cell>
          <cell r="H251" t="str">
            <v>Female</v>
          </cell>
          <cell r="I251" t="str">
            <v>ไม่สูบ</v>
          </cell>
          <cell r="J251">
            <v>103</v>
          </cell>
          <cell r="K251">
            <v>166</v>
          </cell>
          <cell r="L251">
            <v>48.9</v>
          </cell>
          <cell r="M251">
            <v>17.745681521265787</v>
          </cell>
          <cell r="N251">
            <v>74</v>
          </cell>
          <cell r="O251" t="str">
            <v>ไม่มี</v>
          </cell>
          <cell r="P251">
            <v>79</v>
          </cell>
          <cell r="Q251">
            <v>206</v>
          </cell>
          <cell r="R251">
            <v>0</v>
          </cell>
          <cell r="S251">
            <v>0</v>
          </cell>
          <cell r="T251">
            <v>0</v>
          </cell>
          <cell r="U251">
            <v>4.9027088295687884</v>
          </cell>
          <cell r="V251">
            <v>0.42265350509018695</v>
          </cell>
          <cell r="W251" t="str">
            <v>ความเสี่ยงต่ำ</v>
          </cell>
        </row>
        <row r="252">
          <cell r="A252">
            <v>490006</v>
          </cell>
          <cell r="B252" t="str">
            <v>นาย</v>
          </cell>
          <cell r="C252" t="str">
            <v>เทียนทอง</v>
          </cell>
          <cell r="D252" t="str">
            <v>คุณสมบัติ</v>
          </cell>
          <cell r="E252" t="str">
            <v>ตร.วบก.</v>
          </cell>
          <cell r="F252" t="str">
            <v>Maintenance</v>
          </cell>
          <cell r="G252">
            <v>43.94250513347022</v>
          </cell>
          <cell r="H252" t="str">
            <v>Male</v>
          </cell>
          <cell r="I252" t="str">
            <v>ไม่สูบ</v>
          </cell>
          <cell r="J252">
            <v>124</v>
          </cell>
          <cell r="K252">
            <v>174.5</v>
          </cell>
          <cell r="L252">
            <v>68.3</v>
          </cell>
          <cell r="M252">
            <v>22.430029310104189</v>
          </cell>
          <cell r="N252">
            <v>82</v>
          </cell>
          <cell r="O252" t="str">
            <v>โรคภูมิแพ้</v>
          </cell>
          <cell r="P252">
            <v>76</v>
          </cell>
          <cell r="Q252">
            <v>235</v>
          </cell>
          <cell r="R252">
            <v>1</v>
          </cell>
          <cell r="S252">
            <v>0</v>
          </cell>
          <cell r="T252">
            <v>0</v>
          </cell>
          <cell r="U252">
            <v>7.0731651950718684</v>
          </cell>
          <cell r="V252">
            <v>3.6432345229177376</v>
          </cell>
          <cell r="W252" t="str">
            <v>ความเสี่ยงต่ำ</v>
          </cell>
        </row>
        <row r="253">
          <cell r="A253">
            <v>360090</v>
          </cell>
          <cell r="B253" t="str">
            <v>นาย</v>
          </cell>
          <cell r="C253" t="str">
            <v>สมบัติ</v>
          </cell>
          <cell r="D253" t="str">
            <v>ศรีเจริญการกิจ</v>
          </cell>
          <cell r="E253" t="str">
            <v>ยยก.</v>
          </cell>
          <cell r="F253" t="str">
            <v>Operation</v>
          </cell>
          <cell r="G253">
            <v>54.940451745379868</v>
          </cell>
          <cell r="H253" t="str">
            <v>Male</v>
          </cell>
          <cell r="I253" t="str">
            <v>ไม่สูบ</v>
          </cell>
          <cell r="J253">
            <v>138</v>
          </cell>
          <cell r="K253">
            <v>168</v>
          </cell>
          <cell r="L253">
            <v>72.900000000000006</v>
          </cell>
          <cell r="M253">
            <v>25.829081632653061</v>
          </cell>
          <cell r="N253">
            <v>100</v>
          </cell>
          <cell r="O253" t="str">
            <v>โรคความดันโลหิตสูง, โรคหัวใจ</v>
          </cell>
          <cell r="P253">
            <v>97</v>
          </cell>
          <cell r="Q253">
            <v>162</v>
          </cell>
          <cell r="R253">
            <v>1</v>
          </cell>
          <cell r="S253">
            <v>0</v>
          </cell>
          <cell r="T253">
            <v>0</v>
          </cell>
          <cell r="U253">
            <v>8.1101271663244336</v>
          </cell>
          <cell r="V253">
            <v>9.9388249314942065</v>
          </cell>
          <cell r="W253" t="str">
            <v>ความเสี่ยงต่ำ</v>
          </cell>
        </row>
        <row r="254">
          <cell r="A254">
            <v>570123</v>
          </cell>
          <cell r="B254" t="str">
            <v>นาย</v>
          </cell>
          <cell r="C254" t="str">
            <v>วัชรพงษ์</v>
          </cell>
          <cell r="D254" t="str">
            <v>ไตรสอน</v>
          </cell>
          <cell r="E254" t="str">
            <v>ผ.ปก.B ปอ.</v>
          </cell>
          <cell r="F254" t="str">
            <v>Operation</v>
          </cell>
          <cell r="G254">
            <v>32.438056125941131</v>
          </cell>
          <cell r="H254" t="str">
            <v>Male</v>
          </cell>
          <cell r="I254" t="str">
            <v>ไม่สูบ</v>
          </cell>
          <cell r="J254">
            <v>117</v>
          </cell>
          <cell r="K254">
            <v>171.5</v>
          </cell>
          <cell r="L254">
            <v>72.099999999999994</v>
          </cell>
          <cell r="M254">
            <v>24.513595525673825</v>
          </cell>
          <cell r="N254">
            <v>87</v>
          </cell>
          <cell r="O254" t="str">
            <v>ไม่มี</v>
          </cell>
          <cell r="P254">
            <v>93</v>
          </cell>
          <cell r="Q254">
            <v>177</v>
          </cell>
          <cell r="R254">
            <v>1</v>
          </cell>
          <cell r="S254">
            <v>0</v>
          </cell>
          <cell r="T254">
            <v>0</v>
          </cell>
          <cell r="U254">
            <v>5.8629161327857631</v>
          </cell>
          <cell r="V254">
            <v>1.1003130973943454</v>
          </cell>
          <cell r="W254" t="str">
            <v>ความเสี่ยงต่ำ</v>
          </cell>
        </row>
        <row r="255">
          <cell r="A255">
            <v>490033</v>
          </cell>
          <cell r="B255" t="str">
            <v>นาย</v>
          </cell>
          <cell r="C255" t="str">
            <v>ณัฐพล</v>
          </cell>
          <cell r="D255" t="str">
            <v>สถิตย์กุล</v>
          </cell>
          <cell r="E255" t="str">
            <v>ตร.วบก.</v>
          </cell>
          <cell r="F255" t="str">
            <v>Maintenance</v>
          </cell>
          <cell r="G255">
            <v>45.412731006160165</v>
          </cell>
          <cell r="H255" t="str">
            <v>Male</v>
          </cell>
          <cell r="I255" t="str">
            <v>ไม่สูบ</v>
          </cell>
          <cell r="J255">
            <v>139</v>
          </cell>
          <cell r="K255">
            <v>163</v>
          </cell>
          <cell r="L255">
            <v>77.599999999999994</v>
          </cell>
          <cell r="M255">
            <v>29.206970529564529</v>
          </cell>
          <cell r="N255">
            <v>92</v>
          </cell>
          <cell r="O255" t="str">
            <v>ไม่มี</v>
          </cell>
          <cell r="P255">
            <v>82</v>
          </cell>
          <cell r="Q255">
            <v>234</v>
          </cell>
          <cell r="R255">
            <v>1</v>
          </cell>
          <cell r="S255">
            <v>0</v>
          </cell>
          <cell r="T255">
            <v>0</v>
          </cell>
          <cell r="U255">
            <v>7.503953778234087</v>
          </cell>
          <cell r="V255">
            <v>5.549716848521113</v>
          </cell>
          <cell r="W255" t="str">
            <v>ความเสี่ยงต่ำ</v>
          </cell>
        </row>
        <row r="256">
          <cell r="A256">
            <v>580077</v>
          </cell>
          <cell r="B256" t="str">
            <v>นางสาว</v>
          </cell>
          <cell r="C256" t="str">
            <v>ฐานิญา</v>
          </cell>
          <cell r="D256" t="str">
            <v>คณาจันทร์</v>
          </cell>
          <cell r="E256" t="str">
            <v>ผบ.วบก.</v>
          </cell>
          <cell r="F256" t="str">
            <v>Maintenance</v>
          </cell>
          <cell r="G256">
            <v>34.554414784394254</v>
          </cell>
          <cell r="H256" t="str">
            <v>Female</v>
          </cell>
          <cell r="I256" t="str">
            <v>ไม่สูบ</v>
          </cell>
          <cell r="J256">
            <v>110</v>
          </cell>
          <cell r="K256">
            <v>156</v>
          </cell>
          <cell r="L256">
            <v>53.6</v>
          </cell>
          <cell r="M256">
            <v>22.024983563445101</v>
          </cell>
          <cell r="N256">
            <v>73</v>
          </cell>
          <cell r="O256" t="str">
            <v>ไม่มี</v>
          </cell>
          <cell r="P256">
            <v>84</v>
          </cell>
          <cell r="Q256">
            <v>228</v>
          </cell>
          <cell r="R256">
            <v>0</v>
          </cell>
          <cell r="S256">
            <v>0</v>
          </cell>
          <cell r="T256">
            <v>0</v>
          </cell>
          <cell r="U256">
            <v>5.6033477618069822</v>
          </cell>
          <cell r="V256">
            <v>0.8498367989397515</v>
          </cell>
          <cell r="W256" t="str">
            <v>ความเสี่ยงต่ำ</v>
          </cell>
        </row>
        <row r="257">
          <cell r="A257">
            <v>530021</v>
          </cell>
          <cell r="B257" t="str">
            <v>นาย</v>
          </cell>
          <cell r="C257" t="str">
            <v>สุรศักดิ์</v>
          </cell>
          <cell r="D257" t="str">
            <v>โอดสู</v>
          </cell>
          <cell r="E257" t="str">
            <v>คผ.D ปผ.</v>
          </cell>
          <cell r="F257" t="str">
            <v>Operation</v>
          </cell>
          <cell r="G257">
            <v>36.314852840520189</v>
          </cell>
          <cell r="H257" t="str">
            <v>Male</v>
          </cell>
          <cell r="I257" t="str">
            <v>ไม่สูบ</v>
          </cell>
          <cell r="J257">
            <v>113</v>
          </cell>
          <cell r="K257">
            <v>163.5</v>
          </cell>
          <cell r="L257">
            <v>58.4</v>
          </cell>
          <cell r="M257">
            <v>21.846271825229824</v>
          </cell>
          <cell r="N257">
            <v>77</v>
          </cell>
          <cell r="O257" t="str">
            <v>ไม่มี</v>
          </cell>
          <cell r="P257">
            <v>89</v>
          </cell>
          <cell r="Q257">
            <v>205</v>
          </cell>
          <cell r="R257">
            <v>1</v>
          </cell>
          <cell r="S257">
            <v>0</v>
          </cell>
          <cell r="T257">
            <v>0</v>
          </cell>
          <cell r="U257">
            <v>6.1561544079397663</v>
          </cell>
          <cell r="V257">
            <v>1.4724858117460049</v>
          </cell>
          <cell r="W257" t="str">
            <v>ความเสี่ยงต่ำ</v>
          </cell>
        </row>
        <row r="258">
          <cell r="A258">
            <v>480232</v>
          </cell>
          <cell r="B258" t="str">
            <v>นาย</v>
          </cell>
          <cell r="C258" t="str">
            <v>เกรียงไกร</v>
          </cell>
          <cell r="D258" t="str">
            <v>เตชะเทียมจันทร์</v>
          </cell>
          <cell r="E258" t="str">
            <v>ผ.ปก.B ปอ.</v>
          </cell>
          <cell r="F258" t="str">
            <v>Operation</v>
          </cell>
          <cell r="G258">
            <v>44.325804243668706</v>
          </cell>
          <cell r="H258" t="str">
            <v>Male</v>
          </cell>
          <cell r="I258" t="str">
            <v>ไม่ระบุ</v>
          </cell>
          <cell r="J258">
            <v>93</v>
          </cell>
          <cell r="K258">
            <v>173</v>
          </cell>
          <cell r="L258">
            <v>65.8</v>
          </cell>
          <cell r="M258">
            <v>21.985365364696445</v>
          </cell>
          <cell r="N258">
            <v>79</v>
          </cell>
          <cell r="O258" t="str">
            <v>ไม่มี</v>
          </cell>
          <cell r="P258">
            <v>137</v>
          </cell>
          <cell r="Q258">
            <v>303</v>
          </cell>
          <cell r="R258">
            <v>1</v>
          </cell>
          <cell r="S258">
            <v>1</v>
          </cell>
          <cell r="T258">
            <v>0</v>
          </cell>
          <cell r="U258">
            <v>7.0218105612594108</v>
          </cell>
          <cell r="V258">
            <v>3.4640573703876409</v>
          </cell>
          <cell r="W258" t="str">
            <v>ความเสี่ยงต่ำ</v>
          </cell>
        </row>
        <row r="259">
          <cell r="A259">
            <v>650043</v>
          </cell>
          <cell r="B259" t="str">
            <v>นางสาว</v>
          </cell>
          <cell r="C259" t="str">
            <v>วศินี</v>
          </cell>
          <cell r="D259" t="str">
            <v>ยงชัยสิทธิ์</v>
          </cell>
          <cell r="E259" t="str">
            <v>วผ.ทผก.</v>
          </cell>
          <cell r="F259" t="str">
            <v>Support</v>
          </cell>
          <cell r="G259">
            <v>31.627652292950035</v>
          </cell>
          <cell r="H259" t="str">
            <v>Female</v>
          </cell>
          <cell r="I259" t="str">
            <v>ไม่สูบ</v>
          </cell>
          <cell r="J259">
            <v>112</v>
          </cell>
          <cell r="K259">
            <v>162.5</v>
          </cell>
          <cell r="L259">
            <v>49.4</v>
          </cell>
          <cell r="M259">
            <v>18.707692307692309</v>
          </cell>
          <cell r="N259">
            <v>67</v>
          </cell>
          <cell r="O259" t="str">
            <v>ไม่มี</v>
          </cell>
          <cell r="P259">
            <v>74</v>
          </cell>
          <cell r="Q259">
            <v>271</v>
          </cell>
          <cell r="R259">
            <v>0</v>
          </cell>
          <cell r="S259">
            <v>0</v>
          </cell>
          <cell r="T259">
            <v>0</v>
          </cell>
          <cell r="U259">
            <v>5.4966907871321009</v>
          </cell>
          <cell r="V259">
            <v>0.76419155357989599</v>
          </cell>
          <cell r="W259" t="str">
            <v>ความเสี่ยงต่ำ</v>
          </cell>
        </row>
        <row r="260">
          <cell r="A260">
            <v>670014</v>
          </cell>
          <cell r="B260" t="str">
            <v>นาย</v>
          </cell>
          <cell r="C260" t="str">
            <v>ภาคิณ</v>
          </cell>
          <cell r="D260" t="str">
            <v>แก้วลังกา</v>
          </cell>
          <cell r="E260" t="str">
            <v>บร.บรก.</v>
          </cell>
          <cell r="F260" t="str">
            <v>Support</v>
          </cell>
          <cell r="G260">
            <v>26.833675564681716</v>
          </cell>
          <cell r="H260" t="str">
            <v>Male</v>
          </cell>
          <cell r="I260" t="str">
            <v>ไม่สูบ</v>
          </cell>
          <cell r="J260">
            <v>119</v>
          </cell>
          <cell r="K260">
            <v>172</v>
          </cell>
          <cell r="L260">
            <v>55.7</v>
          </cell>
          <cell r="M260">
            <v>18.827744726879391</v>
          </cell>
          <cell r="N260">
            <v>72</v>
          </cell>
          <cell r="O260" t="str">
            <v>ไม่มี</v>
          </cell>
          <cell r="P260">
            <v>75</v>
          </cell>
          <cell r="Q260">
            <v>242</v>
          </cell>
          <cell r="R260">
            <v>1</v>
          </cell>
          <cell r="S260">
            <v>0</v>
          </cell>
          <cell r="T260">
            <v>0</v>
          </cell>
          <cell r="U260">
            <v>5.5837896714579056</v>
          </cell>
          <cell r="V260">
            <v>0.83344588346152548</v>
          </cell>
          <cell r="W260" t="str">
            <v>ความเสี่ยงต่ำ</v>
          </cell>
        </row>
        <row r="261">
          <cell r="A261">
            <v>580295</v>
          </cell>
          <cell r="B261" t="str">
            <v>นาย</v>
          </cell>
          <cell r="C261" t="str">
            <v>สหรัฐ</v>
          </cell>
          <cell r="D261" t="str">
            <v>เจริญสุข</v>
          </cell>
          <cell r="E261" t="str">
            <v>คผ.B ปผ.</v>
          </cell>
          <cell r="F261" t="str">
            <v>Operation</v>
          </cell>
          <cell r="G261">
            <v>30.510609171800137</v>
          </cell>
          <cell r="H261" t="str">
            <v>Male</v>
          </cell>
          <cell r="I261" t="str">
            <v>ไม่สูบ</v>
          </cell>
          <cell r="J261">
            <v>138</v>
          </cell>
          <cell r="K261">
            <v>168</v>
          </cell>
          <cell r="L261">
            <v>66.7</v>
          </cell>
          <cell r="M261">
            <v>23.632369614512474</v>
          </cell>
          <cell r="N261">
            <v>76</v>
          </cell>
          <cell r="O261" t="str">
            <v>ไม่มี</v>
          </cell>
          <cell r="P261">
            <v>84</v>
          </cell>
          <cell r="Q261">
            <v>193</v>
          </cell>
          <cell r="R261">
            <v>1</v>
          </cell>
          <cell r="S261">
            <v>0</v>
          </cell>
          <cell r="T261">
            <v>0</v>
          </cell>
          <cell r="U261">
            <v>6.1767531485284053</v>
          </cell>
          <cell r="V261">
            <v>1.5029002756561716</v>
          </cell>
          <cell r="W261" t="str">
            <v>ความเสี่ยงต่ำ</v>
          </cell>
        </row>
        <row r="262">
          <cell r="A262">
            <v>540202</v>
          </cell>
          <cell r="B262" t="str">
            <v>นาย</v>
          </cell>
          <cell r="C262" t="str">
            <v>ว่าที่ร้อยตรีบุรนันท์</v>
          </cell>
          <cell r="D262" t="str">
            <v>จันทราทิตย์</v>
          </cell>
          <cell r="E262" t="str">
            <v>ผ.ปก.C ปก.</v>
          </cell>
          <cell r="F262" t="str">
            <v>Operation</v>
          </cell>
          <cell r="G262">
            <v>34.491444216290191</v>
          </cell>
          <cell r="H262" t="str">
            <v>Male</v>
          </cell>
          <cell r="I262" t="str">
            <v>ไม่สูบ</v>
          </cell>
          <cell r="J262">
            <v>126</v>
          </cell>
          <cell r="K262">
            <v>170.5</v>
          </cell>
          <cell r="L262">
            <v>99.9</v>
          </cell>
          <cell r="M262">
            <v>34.365029540509624</v>
          </cell>
          <cell r="N262">
            <v>105</v>
          </cell>
          <cell r="O262" t="str">
            <v>ไม่มี</v>
          </cell>
          <cell r="P262">
            <v>97</v>
          </cell>
          <cell r="Q262">
            <v>265</v>
          </cell>
          <cell r="R262">
            <v>1</v>
          </cell>
          <cell r="S262">
            <v>0</v>
          </cell>
          <cell r="T262">
            <v>0</v>
          </cell>
          <cell r="U262">
            <v>6.405064880219026</v>
          </cell>
          <cell r="V262">
            <v>1.8847064773860778</v>
          </cell>
          <cell r="W262" t="str">
            <v>ความเสี่ยงต่ำ</v>
          </cell>
        </row>
        <row r="263">
          <cell r="A263">
            <v>470102</v>
          </cell>
          <cell r="B263" t="str">
            <v>นาย</v>
          </cell>
          <cell r="C263" t="str">
            <v>ชลธร</v>
          </cell>
          <cell r="D263" t="str">
            <v>ฤทธิ์มั่น</v>
          </cell>
          <cell r="E263" t="str">
            <v>อท.บรก.</v>
          </cell>
          <cell r="F263" t="str">
            <v>Support</v>
          </cell>
          <cell r="G263">
            <v>44.323066392881586</v>
          </cell>
          <cell r="H263" t="str">
            <v>Male</v>
          </cell>
          <cell r="I263" t="str">
            <v>ไม่สูบ</v>
          </cell>
          <cell r="J263">
            <v>109</v>
          </cell>
          <cell r="K263">
            <v>175.5</v>
          </cell>
          <cell r="L263">
            <v>56.3</v>
          </cell>
          <cell r="M263">
            <v>18.279072410126542</v>
          </cell>
          <cell r="N263">
            <v>78</v>
          </cell>
          <cell r="O263" t="str">
            <v>ไม่มี</v>
          </cell>
          <cell r="P263">
            <v>98</v>
          </cell>
          <cell r="Q263">
            <v>175</v>
          </cell>
          <cell r="R263">
            <v>1</v>
          </cell>
          <cell r="S263">
            <v>0</v>
          </cell>
          <cell r="T263">
            <v>0</v>
          </cell>
          <cell r="U263">
            <v>6.6645065229295</v>
          </cell>
          <cell r="V263">
            <v>2.4361186333969664</v>
          </cell>
          <cell r="W263" t="str">
            <v>ความเสี่ยงต่ำ</v>
          </cell>
        </row>
        <row r="264">
          <cell r="A264">
            <v>560174</v>
          </cell>
          <cell r="B264" t="str">
            <v>นาย</v>
          </cell>
          <cell r="C264" t="str">
            <v>ณัฐพงษ์</v>
          </cell>
          <cell r="D264" t="str">
            <v>คชการ</v>
          </cell>
          <cell r="E264" t="str">
            <v>วป.วบก.</v>
          </cell>
          <cell r="F264" t="str">
            <v>Maintenance</v>
          </cell>
          <cell r="G264">
            <v>35.446954140999317</v>
          </cell>
          <cell r="H264" t="str">
            <v>Male</v>
          </cell>
          <cell r="I264" t="str">
            <v>ไม่สูบ</v>
          </cell>
          <cell r="J264">
            <v>124</v>
          </cell>
          <cell r="K264">
            <v>175.5</v>
          </cell>
          <cell r="L264">
            <v>81.400000000000006</v>
          </cell>
          <cell r="M264">
            <v>26.428356912687399</v>
          </cell>
          <cell r="N264">
            <v>98</v>
          </cell>
          <cell r="O264" t="str">
            <v>ไม่มี</v>
          </cell>
          <cell r="P264">
            <v>94</v>
          </cell>
          <cell r="Q264">
            <v>308</v>
          </cell>
          <cell r="R264">
            <v>1</v>
          </cell>
          <cell r="S264">
            <v>0</v>
          </cell>
          <cell r="T264">
            <v>0</v>
          </cell>
          <cell r="U264">
            <v>6.5327342573579745</v>
          </cell>
          <cell r="V264">
            <v>2.1385977147580282</v>
          </cell>
          <cell r="W264" t="str">
            <v>ความเสี่ยงต่ำ</v>
          </cell>
        </row>
        <row r="265">
          <cell r="A265">
            <v>620036</v>
          </cell>
          <cell r="B265" t="str">
            <v>นาย</v>
          </cell>
          <cell r="C265" t="str">
            <v>เกตุศักดา</v>
          </cell>
          <cell r="D265" t="str">
            <v>หวานเหนือ</v>
          </cell>
          <cell r="E265" t="str">
            <v>บง.วบก.</v>
          </cell>
          <cell r="F265" t="str">
            <v>Maintenance</v>
          </cell>
          <cell r="G265">
            <v>30.097193702943176</v>
          </cell>
          <cell r="H265" t="str">
            <v>Male</v>
          </cell>
          <cell r="I265" t="str">
            <v>ไม่สูบ</v>
          </cell>
          <cell r="J265">
            <v>134</v>
          </cell>
          <cell r="K265">
            <v>183.5</v>
          </cell>
          <cell r="L265">
            <v>87.7</v>
          </cell>
          <cell r="M265">
            <v>26.045185575659481</v>
          </cell>
          <cell r="N265">
            <v>105</v>
          </cell>
          <cell r="O265" t="str">
            <v>มี</v>
          </cell>
          <cell r="P265">
            <v>95</v>
          </cell>
          <cell r="Q265">
            <v>206</v>
          </cell>
          <cell r="R265">
            <v>1</v>
          </cell>
          <cell r="S265">
            <v>0</v>
          </cell>
          <cell r="T265">
            <v>0</v>
          </cell>
          <cell r="U265">
            <v>6.08712336071184</v>
          </cell>
          <cell r="V265">
            <v>1.374946077277639</v>
          </cell>
          <cell r="W265" t="str">
            <v>ความเสี่ยงต่ำ</v>
          </cell>
        </row>
        <row r="266">
          <cell r="A266">
            <v>590140</v>
          </cell>
          <cell r="B266" t="str">
            <v>นางสาว</v>
          </cell>
          <cell r="C266" t="str">
            <v>นวพร</v>
          </cell>
          <cell r="D266" t="str">
            <v>หุ่นเหมอาบ</v>
          </cell>
          <cell r="E266" t="str">
            <v>กผ.ทผก.</v>
          </cell>
          <cell r="F266" t="str">
            <v>Support</v>
          </cell>
          <cell r="G266">
            <v>31.71252566735113</v>
          </cell>
          <cell r="H266" t="str">
            <v>Female</v>
          </cell>
          <cell r="I266" t="str">
            <v>ไม่สูบ</v>
          </cell>
          <cell r="J266">
            <v>122</v>
          </cell>
          <cell r="K266">
            <v>167</v>
          </cell>
          <cell r="L266">
            <v>76.8</v>
          </cell>
          <cell r="M266">
            <v>27.537738893470543</v>
          </cell>
          <cell r="N266">
            <v>89</v>
          </cell>
          <cell r="O266" t="str">
            <v>โรคภูมิแพ้</v>
          </cell>
          <cell r="P266">
            <v>79</v>
          </cell>
          <cell r="Q266">
            <v>222</v>
          </cell>
          <cell r="R266">
            <v>0</v>
          </cell>
          <cell r="S266">
            <v>0</v>
          </cell>
          <cell r="T266">
            <v>0</v>
          </cell>
          <cell r="U266">
            <v>5.6081559753593435</v>
          </cell>
          <cell r="V266">
            <v>0.85391529695859614</v>
          </cell>
          <cell r="W266" t="str">
            <v>ความเสี่ยงต่ำ</v>
          </cell>
        </row>
        <row r="267">
          <cell r="A267">
            <v>530123</v>
          </cell>
          <cell r="B267" t="str">
            <v>นาย</v>
          </cell>
          <cell r="C267" t="str">
            <v>ชัยสิทธิ์</v>
          </cell>
          <cell r="D267" t="str">
            <v>วลีสุขสันต์</v>
          </cell>
          <cell r="E267" t="str">
            <v>บค.วบก.</v>
          </cell>
          <cell r="F267" t="str">
            <v>Maintenance</v>
          </cell>
          <cell r="G267">
            <v>38.184804928131413</v>
          </cell>
          <cell r="H267" t="str">
            <v>Male</v>
          </cell>
          <cell r="I267" t="str">
            <v>ไม่สูบ</v>
          </cell>
          <cell r="J267">
            <v>134</v>
          </cell>
          <cell r="K267">
            <v>173</v>
          </cell>
          <cell r="L267">
            <v>77.7</v>
          </cell>
          <cell r="M267">
            <v>25.961442079588359</v>
          </cell>
          <cell r="N267">
            <v>90</v>
          </cell>
          <cell r="O267" t="str">
            <v>ไม่มี</v>
          </cell>
          <cell r="P267">
            <v>85</v>
          </cell>
          <cell r="Q267">
            <v>215</v>
          </cell>
          <cell r="R267">
            <v>1</v>
          </cell>
          <cell r="S267">
            <v>0</v>
          </cell>
          <cell r="T267">
            <v>0</v>
          </cell>
          <cell r="U267">
            <v>6.7680125872689931</v>
          </cell>
          <cell r="V267">
            <v>2.6981683940804913</v>
          </cell>
          <cell r="W267" t="str">
            <v>ความเสี่ยงต่ำ</v>
          </cell>
        </row>
        <row r="268">
          <cell r="A268">
            <v>640063</v>
          </cell>
          <cell r="B268" t="str">
            <v>นาย</v>
          </cell>
          <cell r="C268" t="str">
            <v>วิชชากร</v>
          </cell>
          <cell r="D268" t="str">
            <v>ชอบชื่นชม</v>
          </cell>
          <cell r="E268" t="str">
            <v>บฟ.วบก.</v>
          </cell>
          <cell r="F268" t="str">
            <v>Maintenance</v>
          </cell>
          <cell r="G268">
            <v>28.654346338124569</v>
          </cell>
          <cell r="H268" t="str">
            <v>Male</v>
          </cell>
          <cell r="I268" t="str">
            <v>ไม่สูบ</v>
          </cell>
          <cell r="J268">
            <v>112</v>
          </cell>
          <cell r="K268">
            <v>169.5</v>
          </cell>
          <cell r="L268">
            <v>73.900000000000006</v>
          </cell>
          <cell r="M268">
            <v>25.722017733921565</v>
          </cell>
          <cell r="N268">
            <v>87</v>
          </cell>
          <cell r="O268" t="str">
            <v>ไม่มี</v>
          </cell>
          <cell r="P268">
            <v>88</v>
          </cell>
          <cell r="Q268">
            <v>280</v>
          </cell>
          <cell r="R268">
            <v>1</v>
          </cell>
          <cell r="S268">
            <v>0</v>
          </cell>
          <cell r="T268">
            <v>0</v>
          </cell>
          <cell r="U268">
            <v>5.6674551608487338</v>
          </cell>
          <cell r="V268">
            <v>0.90584627431679055</v>
          </cell>
          <cell r="W268" t="str">
            <v>ความเสี่ยงต่ำ</v>
          </cell>
        </row>
        <row r="269">
          <cell r="A269">
            <v>360074</v>
          </cell>
          <cell r="B269" t="str">
            <v>นาย</v>
          </cell>
          <cell r="C269" t="str">
            <v>บัณฑพล</v>
          </cell>
          <cell r="D269" t="str">
            <v>ดวงประทุม</v>
          </cell>
          <cell r="E269" t="str">
            <v>ปอ.ยรก.</v>
          </cell>
          <cell r="F269" t="str">
            <v>Operation</v>
          </cell>
          <cell r="G269">
            <v>53.932922655715252</v>
          </cell>
          <cell r="H269" t="str">
            <v>Male</v>
          </cell>
          <cell r="I269" t="str">
            <v>ไม่สูบ</v>
          </cell>
          <cell r="J269">
            <v>128</v>
          </cell>
          <cell r="K269">
            <v>169.5</v>
          </cell>
          <cell r="L269">
            <v>69.8</v>
          </cell>
          <cell r="M269">
            <v>24.294950444218202</v>
          </cell>
          <cell r="N269">
            <v>89</v>
          </cell>
          <cell r="O269" t="str">
            <v>โรคเก๊าท์</v>
          </cell>
          <cell r="P269">
            <v>139</v>
          </cell>
          <cell r="Q269">
            <v>170</v>
          </cell>
          <cell r="R269">
            <v>1</v>
          </cell>
          <cell r="S269">
            <v>0</v>
          </cell>
          <cell r="T269">
            <v>0</v>
          </cell>
          <cell r="U269">
            <v>7.83624106091718</v>
          </cell>
          <cell r="V269">
            <v>7.6515631223274427</v>
          </cell>
          <cell r="W269" t="str">
            <v>ความเสี่ยงต่ำ</v>
          </cell>
        </row>
        <row r="270">
          <cell r="A270">
            <v>560067</v>
          </cell>
          <cell r="B270" t="str">
            <v>นาย</v>
          </cell>
          <cell r="C270" t="str">
            <v>พิชัยกานต์</v>
          </cell>
          <cell r="D270" t="str">
            <v>ห้วยหงษ์ทอง</v>
          </cell>
          <cell r="E270" t="str">
            <v>คผ.A ปล.</v>
          </cell>
          <cell r="F270" t="str">
            <v>Operation</v>
          </cell>
          <cell r="G270">
            <v>34.245037645448321</v>
          </cell>
          <cell r="H270" t="str">
            <v>Male</v>
          </cell>
          <cell r="I270" t="str">
            <v>ไม่สูบ</v>
          </cell>
          <cell r="J270">
            <v>133</v>
          </cell>
          <cell r="K270">
            <v>171.5</v>
          </cell>
          <cell r="L270">
            <v>88.4</v>
          </cell>
          <cell r="M270">
            <v>30.055504084182612</v>
          </cell>
          <cell r="N270">
            <v>99</v>
          </cell>
          <cell r="O270" t="str">
            <v>โรคเก๊าท์</v>
          </cell>
          <cell r="P270">
            <v>94</v>
          </cell>
          <cell r="Q270">
            <v>295</v>
          </cell>
          <cell r="R270">
            <v>1</v>
          </cell>
          <cell r="S270">
            <v>0</v>
          </cell>
          <cell r="T270">
            <v>0</v>
          </cell>
          <cell r="U270">
            <v>6.5943814305270356</v>
          </cell>
          <cell r="V270">
            <v>2.2730277603847382</v>
          </cell>
          <cell r="W270" t="str">
            <v>ความเสี่ยงต่ำ</v>
          </cell>
        </row>
        <row r="271">
          <cell r="A271">
            <v>490233</v>
          </cell>
          <cell r="B271" t="str">
            <v>นาย</v>
          </cell>
          <cell r="C271" t="str">
            <v>อภิชา</v>
          </cell>
          <cell r="D271" t="str">
            <v>อมรกุลพิทยา</v>
          </cell>
          <cell r="E271" t="str">
            <v>ตร.วบก.</v>
          </cell>
          <cell r="F271" t="str">
            <v>Maintenance</v>
          </cell>
          <cell r="G271">
            <v>41.281314168377826</v>
          </cell>
          <cell r="H271" t="str">
            <v>Male</v>
          </cell>
          <cell r="I271" t="str">
            <v>ไม่สูบ</v>
          </cell>
          <cell r="J271">
            <v>129</v>
          </cell>
          <cell r="K271">
            <v>169.5</v>
          </cell>
          <cell r="L271">
            <v>70.400000000000006</v>
          </cell>
          <cell r="M271">
            <v>24.503789559784547</v>
          </cell>
          <cell r="N271">
            <v>88</v>
          </cell>
          <cell r="O271" t="str">
            <v>ไม่มี</v>
          </cell>
          <cell r="P271">
            <v>89</v>
          </cell>
          <cell r="Q271">
            <v>224</v>
          </cell>
          <cell r="R271">
            <v>1</v>
          </cell>
          <cell r="S271">
            <v>0</v>
          </cell>
          <cell r="T271">
            <v>0</v>
          </cell>
          <cell r="U271">
            <v>6.936279938398358</v>
          </cell>
          <cell r="V271">
            <v>3.184664010171856</v>
          </cell>
          <cell r="W271" t="str">
            <v>ความเสี่ยงต่ำ</v>
          </cell>
        </row>
        <row r="272">
          <cell r="A272">
            <v>530013</v>
          </cell>
          <cell r="B272" t="str">
            <v>นาย</v>
          </cell>
          <cell r="C272" t="str">
            <v>นันทศักดิ์</v>
          </cell>
          <cell r="D272" t="str">
            <v>โซ๊ะมิน</v>
          </cell>
          <cell r="E272" t="str">
            <v>คผ.D ปล.</v>
          </cell>
          <cell r="F272" t="str">
            <v>Operation</v>
          </cell>
          <cell r="G272">
            <v>40.878850102669404</v>
          </cell>
          <cell r="H272" t="str">
            <v>Male</v>
          </cell>
          <cell r="I272" t="str">
            <v>สูบ 20 มวนต่อวัน</v>
          </cell>
          <cell r="J272">
            <v>132</v>
          </cell>
          <cell r="K272">
            <v>174</v>
          </cell>
          <cell r="L272">
            <v>82.3</v>
          </cell>
          <cell r="M272">
            <v>27.183247456731404</v>
          </cell>
          <cell r="N272">
            <v>95</v>
          </cell>
          <cell r="O272" t="str">
            <v>หอบหืด</v>
          </cell>
          <cell r="P272">
            <v>96</v>
          </cell>
          <cell r="Q272">
            <v>211</v>
          </cell>
          <cell r="R272">
            <v>1</v>
          </cell>
          <cell r="S272">
            <v>1</v>
          </cell>
          <cell r="T272">
            <v>0</v>
          </cell>
          <cell r="U272">
            <v>7.357466303901437</v>
          </cell>
          <cell r="V272">
            <v>4.8120107328806005</v>
          </cell>
          <cell r="W272" t="str">
            <v>ความเสี่ยงต่ำ</v>
          </cell>
        </row>
        <row r="273">
          <cell r="A273">
            <v>470068</v>
          </cell>
          <cell r="B273" t="str">
            <v>นาย</v>
          </cell>
          <cell r="C273" t="str">
            <v>ธนากฤช</v>
          </cell>
          <cell r="D273" t="str">
            <v>ภูวนาทเกษมกุล</v>
          </cell>
          <cell r="E273" t="str">
            <v>คผ.D ปผ.</v>
          </cell>
          <cell r="F273" t="str">
            <v>Operation</v>
          </cell>
          <cell r="G273">
            <v>44.454483230663925</v>
          </cell>
          <cell r="H273" t="str">
            <v>Male</v>
          </cell>
          <cell r="I273" t="str">
            <v>ไม่สูบ</v>
          </cell>
          <cell r="J273">
            <v>139</v>
          </cell>
          <cell r="K273">
            <v>177</v>
          </cell>
          <cell r="L273">
            <v>69.400000000000006</v>
          </cell>
          <cell r="M273">
            <v>22.151999744645536</v>
          </cell>
          <cell r="N273">
            <v>83</v>
          </cell>
          <cell r="O273" t="str">
            <v>โรคหมอนรองกระดูก</v>
          </cell>
          <cell r="P273">
            <v>105</v>
          </cell>
          <cell r="Q273">
            <v>218</v>
          </cell>
          <cell r="R273">
            <v>1</v>
          </cell>
          <cell r="S273">
            <v>0</v>
          </cell>
          <cell r="T273">
            <v>0</v>
          </cell>
          <cell r="U273">
            <v>7.3916203627652299</v>
          </cell>
          <cell r="V273">
            <v>4.9749709246259659</v>
          </cell>
          <cell r="W273" t="str">
            <v>ความเสี่ยงต่ำ</v>
          </cell>
        </row>
        <row r="274">
          <cell r="A274">
            <v>620037</v>
          </cell>
          <cell r="B274" t="str">
            <v>นาย</v>
          </cell>
          <cell r="C274" t="str">
            <v>ชัชวาล</v>
          </cell>
          <cell r="D274" t="str">
            <v>กะการดี</v>
          </cell>
          <cell r="E274" t="str">
            <v>บง.วบก.</v>
          </cell>
          <cell r="F274" t="str">
            <v>Maintenance</v>
          </cell>
          <cell r="G274">
            <v>30.097193702943191</v>
          </cell>
          <cell r="H274" t="str">
            <v>Male</v>
          </cell>
          <cell r="I274" t="str">
            <v>ไม่สูบ</v>
          </cell>
          <cell r="J274">
            <v>116</v>
          </cell>
          <cell r="K274">
            <v>170.5</v>
          </cell>
          <cell r="L274">
            <v>68.3</v>
          </cell>
          <cell r="M274">
            <v>23.494809986154227</v>
          </cell>
          <cell r="N274">
            <v>86</v>
          </cell>
          <cell r="O274" t="str">
            <v>ไม่มี</v>
          </cell>
          <cell r="P274">
            <v>84</v>
          </cell>
          <cell r="Q274">
            <v>190</v>
          </cell>
          <cell r="R274">
            <v>1</v>
          </cell>
          <cell r="S274">
            <v>0</v>
          </cell>
          <cell r="T274">
            <v>0</v>
          </cell>
          <cell r="U274">
            <v>5.6780833607118408</v>
          </cell>
          <cell r="V274">
            <v>0.91548069373464935</v>
          </cell>
          <cell r="W274" t="str">
            <v>ความเสี่ยงต่ำ</v>
          </cell>
        </row>
        <row r="275">
          <cell r="A275">
            <v>400075</v>
          </cell>
          <cell r="B275" t="str">
            <v>นาย</v>
          </cell>
          <cell r="C275" t="str">
            <v>ชวลิต</v>
          </cell>
          <cell r="D275" t="str">
            <v>บุญบำรุงชัย</v>
          </cell>
          <cell r="E275" t="str">
            <v>บผ.สยก.</v>
          </cell>
          <cell r="F275" t="str">
            <v>Operation</v>
          </cell>
          <cell r="G275">
            <v>50.800821355236138</v>
          </cell>
          <cell r="H275" t="str">
            <v>Male</v>
          </cell>
          <cell r="I275" t="str">
            <v>ไม่สูบ</v>
          </cell>
          <cell r="J275">
            <v>111</v>
          </cell>
          <cell r="K275">
            <v>175.5</v>
          </cell>
          <cell r="L275">
            <v>77.5</v>
          </cell>
          <cell r="M275">
            <v>25.162133424241688</v>
          </cell>
          <cell r="N275">
            <v>96</v>
          </cell>
          <cell r="O275" t="str">
            <v>ไม่มี</v>
          </cell>
          <cell r="P275">
            <v>99</v>
          </cell>
          <cell r="Q275">
            <v>269</v>
          </cell>
          <cell r="R275">
            <v>1</v>
          </cell>
          <cell r="S275">
            <v>0</v>
          </cell>
          <cell r="T275">
            <v>0</v>
          </cell>
          <cell r="U275">
            <v>7.4355412114989736</v>
          </cell>
          <cell r="V275">
            <v>5.192445211601715</v>
          </cell>
          <cell r="W275" t="str">
            <v>ความเสี่ยงต่ำ</v>
          </cell>
        </row>
        <row r="276">
          <cell r="A276">
            <v>470055</v>
          </cell>
          <cell r="B276" t="str">
            <v>นาย</v>
          </cell>
          <cell r="C276" t="str">
            <v>พรศักดิ์</v>
          </cell>
          <cell r="D276" t="str">
            <v>แสงรัศมีมรกต</v>
          </cell>
          <cell r="E276" t="str">
            <v>บฟ.วบก.</v>
          </cell>
          <cell r="F276" t="str">
            <v>Maintenance</v>
          </cell>
          <cell r="G276">
            <v>45.889117043121139</v>
          </cell>
          <cell r="H276" t="str">
            <v>Male</v>
          </cell>
          <cell r="I276" t="str">
            <v>ไม่สูบ</v>
          </cell>
          <cell r="J276">
            <v>130</v>
          </cell>
          <cell r="K276">
            <v>160</v>
          </cell>
          <cell r="L276">
            <v>66.3</v>
          </cell>
          <cell r="M276">
            <v>25.8984375</v>
          </cell>
          <cell r="N276">
            <v>90</v>
          </cell>
          <cell r="O276" t="str">
            <v>ไม่มี</v>
          </cell>
          <cell r="P276">
            <v>122</v>
          </cell>
          <cell r="Q276">
            <v>256</v>
          </cell>
          <cell r="R276">
            <v>1</v>
          </cell>
          <cell r="S276">
            <v>0</v>
          </cell>
          <cell r="T276">
            <v>0</v>
          </cell>
          <cell r="U276">
            <v>7.4020164476386032</v>
          </cell>
          <cell r="V276">
            <v>5.0256321733538778</v>
          </cell>
          <cell r="W276" t="str">
            <v>ความเสี่ยงต่ำ</v>
          </cell>
        </row>
        <row r="277">
          <cell r="A277">
            <v>480235</v>
          </cell>
          <cell r="B277" t="str">
            <v>นาย</v>
          </cell>
          <cell r="C277" t="str">
            <v>เสรีศักดิ์</v>
          </cell>
          <cell r="D277" t="str">
            <v>ทาศรี</v>
          </cell>
          <cell r="E277" t="str">
            <v>คผ.D ปผ.</v>
          </cell>
          <cell r="F277" t="str">
            <v>Operation</v>
          </cell>
          <cell r="G277">
            <v>43.028062970568101</v>
          </cell>
          <cell r="H277" t="str">
            <v>Male</v>
          </cell>
          <cell r="I277" t="str">
            <v>ไม่สูบ</v>
          </cell>
          <cell r="J277">
            <v>139</v>
          </cell>
          <cell r="K277">
            <v>171</v>
          </cell>
          <cell r="L277">
            <v>122</v>
          </cell>
          <cell r="M277">
            <v>41.722239321500631</v>
          </cell>
          <cell r="N277">
            <v>122</v>
          </cell>
          <cell r="O277" t="str">
            <v>โรคภูมิแพ้</v>
          </cell>
          <cell r="P277">
            <v>130</v>
          </cell>
          <cell r="Q277">
            <v>309</v>
          </cell>
          <cell r="R277">
            <v>1</v>
          </cell>
          <cell r="S277">
            <v>0</v>
          </cell>
          <cell r="T277">
            <v>0</v>
          </cell>
          <cell r="U277">
            <v>7.4678163928815877</v>
          </cell>
          <cell r="V277">
            <v>5.3581206837003741</v>
          </cell>
          <cell r="W277" t="str">
            <v>ความเสี่ยงต่ำ</v>
          </cell>
        </row>
        <row r="278">
          <cell r="A278">
            <v>480025</v>
          </cell>
          <cell r="B278" t="str">
            <v>นาย</v>
          </cell>
          <cell r="C278" t="str">
            <v>ชาญณรงค์</v>
          </cell>
          <cell r="D278" t="str">
            <v>บุญฤทธิ์</v>
          </cell>
          <cell r="E278" t="str">
            <v>คผ.B ปผ.</v>
          </cell>
          <cell r="F278" t="str">
            <v>Operation</v>
          </cell>
          <cell r="G278">
            <v>42.995208761122505</v>
          </cell>
          <cell r="H278" t="str">
            <v>Male</v>
          </cell>
          <cell r="I278" t="str">
            <v>ไม่สูบ</v>
          </cell>
          <cell r="J278">
            <v>124</v>
          </cell>
          <cell r="K278">
            <v>166.5</v>
          </cell>
          <cell r="L278">
            <v>84</v>
          </cell>
          <cell r="M278">
            <v>30.30057084111138</v>
          </cell>
          <cell r="N278">
            <v>94</v>
          </cell>
          <cell r="O278" t="str">
            <v>ไขมันในเลือดสูง</v>
          </cell>
          <cell r="P278">
            <v>95</v>
          </cell>
          <cell r="Q278">
            <v>231</v>
          </cell>
          <cell r="R278">
            <v>1</v>
          </cell>
          <cell r="S278">
            <v>0</v>
          </cell>
          <cell r="T278">
            <v>0</v>
          </cell>
          <cell r="U278">
            <v>6.987167932922655</v>
          </cell>
          <cell r="V278">
            <v>3.3481054897761875</v>
          </cell>
          <cell r="W278" t="str">
            <v>ความเสี่ยงต่ำ</v>
          </cell>
        </row>
        <row r="279">
          <cell r="A279">
            <v>580015</v>
          </cell>
          <cell r="B279" t="str">
            <v>นางสาว</v>
          </cell>
          <cell r="C279" t="str">
            <v>ณิชากร</v>
          </cell>
          <cell r="D279" t="str">
            <v>ตองอ่อน</v>
          </cell>
          <cell r="E279" t="str">
            <v>บร.บรก.</v>
          </cell>
          <cell r="F279" t="str">
            <v>Support</v>
          </cell>
          <cell r="G279">
            <v>36.427104722792606</v>
          </cell>
          <cell r="H279" t="str">
            <v>Female</v>
          </cell>
          <cell r="I279" t="str">
            <v>ไม่สูบ</v>
          </cell>
          <cell r="J279">
            <v>89</v>
          </cell>
          <cell r="K279">
            <v>157.5</v>
          </cell>
          <cell r="L279">
            <v>54.3</v>
          </cell>
          <cell r="M279">
            <v>21.889644746787603</v>
          </cell>
          <cell r="N279">
            <v>67</v>
          </cell>
          <cell r="O279" t="str">
            <v>ไทรอยด์</v>
          </cell>
          <cell r="P279">
            <v>74</v>
          </cell>
          <cell r="Q279">
            <v>262</v>
          </cell>
          <cell r="R279">
            <v>0</v>
          </cell>
          <cell r="S279">
            <v>0</v>
          </cell>
          <cell r="T279">
            <v>0</v>
          </cell>
          <cell r="U279">
            <v>5.3910299794661194</v>
          </cell>
          <cell r="V279">
            <v>0.6878300639035273</v>
          </cell>
          <cell r="W279" t="str">
            <v>ความเสี่ยงต่ำ</v>
          </cell>
        </row>
        <row r="280">
          <cell r="A280">
            <v>620035</v>
          </cell>
          <cell r="B280" t="str">
            <v>นาย</v>
          </cell>
          <cell r="C280" t="str">
            <v>สุรนาท</v>
          </cell>
          <cell r="D280" t="str">
            <v>ผ่องสุวรรณ์</v>
          </cell>
          <cell r="E280" t="str">
            <v>บง.วบก.</v>
          </cell>
          <cell r="F280" t="str">
            <v>Maintenance</v>
          </cell>
          <cell r="G280">
            <v>29.497604380561253</v>
          </cell>
          <cell r="H280" t="str">
            <v>Male</v>
          </cell>
          <cell r="I280" t="str">
            <v>ไม่สูบ</v>
          </cell>
          <cell r="J280">
            <v>119</v>
          </cell>
          <cell r="K280">
            <v>180</v>
          </cell>
          <cell r="L280">
            <v>73.8</v>
          </cell>
          <cell r="M280">
            <v>22.777777777777779</v>
          </cell>
          <cell r="N280">
            <v>83</v>
          </cell>
          <cell r="O280" t="str">
            <v>ไม่มี</v>
          </cell>
          <cell r="P280">
            <v>91</v>
          </cell>
          <cell r="Q280">
            <v>236</v>
          </cell>
          <cell r="R280">
            <v>1</v>
          </cell>
          <cell r="S280">
            <v>0</v>
          </cell>
          <cell r="T280">
            <v>0</v>
          </cell>
          <cell r="U280">
            <v>5.7890589664613277</v>
          </cell>
          <cell r="V280">
            <v>1.0223774668348562</v>
          </cell>
          <cell r="W280" t="str">
            <v>ความเสี่ยงต่ำ</v>
          </cell>
        </row>
        <row r="281">
          <cell r="A281">
            <v>450037</v>
          </cell>
          <cell r="B281" t="str">
            <v>นาย</v>
          </cell>
          <cell r="C281" t="str">
            <v>กรภัทร</v>
          </cell>
          <cell r="D281" t="str">
            <v>เลาหกุลวุฒิ</v>
          </cell>
          <cell r="E281" t="str">
            <v>บค.วบก.</v>
          </cell>
          <cell r="F281" t="str">
            <v>Maintenance</v>
          </cell>
          <cell r="G281">
            <v>47.61122518822723</v>
          </cell>
          <cell r="H281" t="str">
            <v>Male</v>
          </cell>
          <cell r="I281" t="str">
            <v>ไม่สูบ</v>
          </cell>
          <cell r="J281">
            <v>126</v>
          </cell>
          <cell r="K281">
            <v>163.5</v>
          </cell>
          <cell r="L281">
            <v>72.3</v>
          </cell>
          <cell r="M281">
            <v>27.045983783632128</v>
          </cell>
          <cell r="N281">
            <v>88</v>
          </cell>
          <cell r="O281" t="str">
            <v>โรคเก๊าท์</v>
          </cell>
          <cell r="P281">
            <v>102</v>
          </cell>
          <cell r="Q281">
            <v>206</v>
          </cell>
          <cell r="R281">
            <v>1</v>
          </cell>
          <cell r="S281">
            <v>0</v>
          </cell>
          <cell r="T281">
            <v>0</v>
          </cell>
          <cell r="U281">
            <v>7.3535765571526346</v>
          </cell>
          <cell r="V281">
            <v>4.7937846986550241</v>
          </cell>
          <cell r="W281" t="str">
            <v>ความเสี่ยงต่ำ</v>
          </cell>
        </row>
        <row r="282">
          <cell r="A282">
            <v>660075</v>
          </cell>
          <cell r="B282" t="str">
            <v>นาย</v>
          </cell>
          <cell r="C282" t="str">
            <v>บริพัตร</v>
          </cell>
          <cell r="D282" t="str">
            <v>อุบลประเสริฐ</v>
          </cell>
          <cell r="E282" t="str">
            <v>ตร.วบก.</v>
          </cell>
          <cell r="F282" t="str">
            <v>Maintenance</v>
          </cell>
          <cell r="G282">
            <v>30.140999315537297</v>
          </cell>
          <cell r="H282" t="str">
            <v>Male</v>
          </cell>
          <cell r="I282" t="str">
            <v>ไม่สูบ</v>
          </cell>
          <cell r="J282">
            <v>132</v>
          </cell>
          <cell r="K282">
            <v>183</v>
          </cell>
          <cell r="L282">
            <v>71.5</v>
          </cell>
          <cell r="M282">
            <v>21.350294126429574</v>
          </cell>
          <cell r="N282">
            <v>74</v>
          </cell>
          <cell r="O282" t="str">
            <v>ไม่มี</v>
          </cell>
          <cell r="P282">
            <v>90</v>
          </cell>
          <cell r="Q282">
            <v>260</v>
          </cell>
          <cell r="R282">
            <v>1</v>
          </cell>
          <cell r="S282">
            <v>0</v>
          </cell>
          <cell r="T282">
            <v>0</v>
          </cell>
          <cell r="U282">
            <v>6.1635079739904164</v>
          </cell>
          <cell r="V282">
            <v>1.4832727429203052</v>
          </cell>
          <cell r="W282" t="str">
            <v>ความเสี่ยงต่ำ</v>
          </cell>
        </row>
        <row r="283">
          <cell r="A283">
            <v>670128</v>
          </cell>
          <cell r="B283" t="str">
            <v>นาย</v>
          </cell>
          <cell r="C283" t="str">
            <v>ณรงเดช</v>
          </cell>
          <cell r="D283" t="str">
            <v>มานพ</v>
          </cell>
          <cell r="E283" t="str">
            <v>คผ.A ปล.</v>
          </cell>
          <cell r="F283" t="str">
            <v>Operation</v>
          </cell>
          <cell r="G283">
            <v>28.375085557837089</v>
          </cell>
          <cell r="H283" t="str">
            <v>Male</v>
          </cell>
          <cell r="I283" t="str">
            <v>ไม่สูบ</v>
          </cell>
          <cell r="J283">
            <v>125</v>
          </cell>
          <cell r="K283">
            <v>168</v>
          </cell>
          <cell r="L283">
            <v>74.8</v>
          </cell>
          <cell r="M283">
            <v>26.502267573696141</v>
          </cell>
          <cell r="N283">
            <v>92</v>
          </cell>
          <cell r="O283" t="str">
            <v>ไม่มี</v>
          </cell>
          <cell r="P283">
            <v>82</v>
          </cell>
          <cell r="Q283">
            <v>135</v>
          </cell>
          <cell r="R283">
            <v>1</v>
          </cell>
          <cell r="S283">
            <v>0</v>
          </cell>
          <cell r="T283">
            <v>0</v>
          </cell>
          <cell r="U283">
            <v>5.6081232511978092</v>
          </cell>
          <cell r="V283">
            <v>0.8538874733964863</v>
          </cell>
          <cell r="W283" t="str">
            <v>ความเสี่ยงต่ำ</v>
          </cell>
        </row>
        <row r="284">
          <cell r="A284">
            <v>470036</v>
          </cell>
          <cell r="B284" t="str">
            <v>นาย</v>
          </cell>
          <cell r="C284" t="str">
            <v>วินัย</v>
          </cell>
          <cell r="D284" t="str">
            <v>ภักดีกุลสิริ</v>
          </cell>
          <cell r="E284" t="str">
            <v>ผ.ปก.C ปอ.</v>
          </cell>
          <cell r="F284" t="str">
            <v>Operation</v>
          </cell>
          <cell r="G284">
            <v>44.73921971252566</v>
          </cell>
          <cell r="H284" t="str">
            <v>Male</v>
          </cell>
          <cell r="I284" t="str">
            <v>ไม่สูบ</v>
          </cell>
          <cell r="J284">
            <v>119</v>
          </cell>
          <cell r="K284">
            <v>179</v>
          </cell>
          <cell r="L284">
            <v>74.5</v>
          </cell>
          <cell r="M284">
            <v>23.251459068069035</v>
          </cell>
          <cell r="N284">
            <v>88</v>
          </cell>
          <cell r="O284" t="str">
            <v>โรคเก๊าท์, ไขมันในเลือดสูง</v>
          </cell>
          <cell r="P284">
            <v>94</v>
          </cell>
          <cell r="Q284">
            <v>245</v>
          </cell>
          <cell r="R284">
            <v>1</v>
          </cell>
          <cell r="S284">
            <v>0</v>
          </cell>
          <cell r="T284">
            <v>0</v>
          </cell>
          <cell r="U284">
            <v>7.0553603490759755</v>
          </cell>
          <cell r="V284">
            <v>3.5801063497378216</v>
          </cell>
          <cell r="W284" t="str">
            <v>ความเสี่ยงต่ำ</v>
          </cell>
        </row>
        <row r="285">
          <cell r="A285">
            <v>670043</v>
          </cell>
          <cell r="B285" t="str">
            <v>นาย</v>
          </cell>
          <cell r="C285" t="str">
            <v>ภูดิท</v>
          </cell>
          <cell r="D285" t="str">
            <v>วัชรินทร์ธาดา</v>
          </cell>
          <cell r="E285" t="str">
            <v>ปภ.ผยก.</v>
          </cell>
          <cell r="F285" t="str">
            <v>Support</v>
          </cell>
          <cell r="G285">
            <v>26.932238193018474</v>
          </cell>
          <cell r="H285" t="str">
            <v>Male</v>
          </cell>
          <cell r="I285" t="str">
            <v>ไม่สูบ</v>
          </cell>
          <cell r="J285">
            <v>111</v>
          </cell>
          <cell r="K285">
            <v>181</v>
          </cell>
          <cell r="L285">
            <v>71.7</v>
          </cell>
          <cell r="M285">
            <v>21.885778822380271</v>
          </cell>
          <cell r="N285">
            <v>77</v>
          </cell>
          <cell r="O285" t="str">
            <v>ไม่มี</v>
          </cell>
          <cell r="P285">
            <v>87</v>
          </cell>
          <cell r="Q285">
            <v>229</v>
          </cell>
          <cell r="R285">
            <v>1</v>
          </cell>
          <cell r="S285">
            <v>0</v>
          </cell>
          <cell r="T285">
            <v>0</v>
          </cell>
          <cell r="U285">
            <v>5.3975750513347016</v>
          </cell>
          <cell r="V285">
            <v>0.69233105470370981</v>
          </cell>
          <cell r="W285" t="str">
            <v>ความเสี่ยงต่ำ</v>
          </cell>
        </row>
        <row r="286">
          <cell r="A286">
            <v>670122</v>
          </cell>
          <cell r="B286" t="str">
            <v>นาย</v>
          </cell>
          <cell r="C286" t="str">
            <v>ชิณวัชร</v>
          </cell>
          <cell r="D286" t="str">
            <v>จันทร์เปล่ง</v>
          </cell>
          <cell r="E286" t="str">
            <v>ผบ.วบก.</v>
          </cell>
          <cell r="F286" t="str">
            <v>Maintenance</v>
          </cell>
          <cell r="G286">
            <v>23.364818617385346</v>
          </cell>
          <cell r="H286" t="str">
            <v>Male</v>
          </cell>
          <cell r="I286" t="str">
            <v>ไม่สูบ</v>
          </cell>
          <cell r="J286">
            <v>126</v>
          </cell>
          <cell r="K286">
            <v>167.5</v>
          </cell>
          <cell r="L286">
            <v>94.3</v>
          </cell>
          <cell r="M286">
            <v>33.611049231454665</v>
          </cell>
          <cell r="N286">
            <v>106</v>
          </cell>
          <cell r="O286" t="str">
            <v>ไม่มี</v>
          </cell>
          <cell r="P286">
            <v>87</v>
          </cell>
          <cell r="Q286">
            <v>176</v>
          </cell>
          <cell r="R286">
            <v>1</v>
          </cell>
          <cell r="S286">
            <v>0</v>
          </cell>
          <cell r="T286">
            <v>0</v>
          </cell>
          <cell r="U286">
            <v>5.3058931074606432</v>
          </cell>
          <cell r="V286">
            <v>0.63187164179638877</v>
          </cell>
          <cell r="W286" t="str">
            <v>ความเสี่ยงต่ำ</v>
          </cell>
        </row>
        <row r="287">
          <cell r="A287">
            <v>600133</v>
          </cell>
          <cell r="B287" t="str">
            <v>นาย</v>
          </cell>
          <cell r="C287" t="str">
            <v>ทัศน์พล</v>
          </cell>
          <cell r="D287" t="str">
            <v>ปฏิบัติธรรม</v>
          </cell>
          <cell r="E287" t="str">
            <v>คผ.C ปล.</v>
          </cell>
          <cell r="F287" t="str">
            <v>Operation</v>
          </cell>
          <cell r="G287">
            <v>30.847364818617379</v>
          </cell>
          <cell r="H287" t="str">
            <v>Male</v>
          </cell>
          <cell r="I287" t="str">
            <v>ไม่สูบ</v>
          </cell>
          <cell r="J287">
            <v>120</v>
          </cell>
          <cell r="K287">
            <v>164</v>
          </cell>
          <cell r="L287">
            <v>53.8</v>
          </cell>
          <cell r="M287">
            <v>20.002974419988103</v>
          </cell>
          <cell r="N287">
            <v>70</v>
          </cell>
          <cell r="O287" t="str">
            <v>ไม่มี</v>
          </cell>
          <cell r="P287">
            <v>77</v>
          </cell>
          <cell r="Q287">
            <v>177</v>
          </cell>
          <cell r="R287">
            <v>1</v>
          </cell>
          <cell r="S287">
            <v>0</v>
          </cell>
          <cell r="T287">
            <v>0</v>
          </cell>
          <cell r="U287">
            <v>5.7952698631074604</v>
          </cell>
          <cell r="V287">
            <v>1.0287142324515663</v>
          </cell>
          <cell r="W287" t="str">
            <v>ความเสี่ยงต่ำ</v>
          </cell>
        </row>
        <row r="288">
          <cell r="A288">
            <v>660119</v>
          </cell>
          <cell r="B288" t="str">
            <v>นาย</v>
          </cell>
          <cell r="C288" t="str">
            <v>ภาณุมาศ</v>
          </cell>
          <cell r="D288" t="str">
            <v>ติวารี</v>
          </cell>
          <cell r="E288" t="str">
            <v>ซญ.วบก.</v>
          </cell>
          <cell r="F288" t="str">
            <v>Maintenance</v>
          </cell>
          <cell r="G288">
            <v>27.676933607118407</v>
          </cell>
          <cell r="H288" t="str">
            <v>Male</v>
          </cell>
          <cell r="I288" t="str">
            <v>ไม่สูบ</v>
          </cell>
          <cell r="J288">
            <v>113</v>
          </cell>
          <cell r="K288">
            <v>169.5</v>
          </cell>
          <cell r="L288">
            <v>66.2</v>
          </cell>
          <cell r="M288">
            <v>23.041915750820131</v>
          </cell>
          <cell r="N288">
            <v>85</v>
          </cell>
          <cell r="O288" t="str">
            <v>ไม่มี</v>
          </cell>
          <cell r="P288">
            <v>83</v>
          </cell>
          <cell r="Q288">
            <v>243</v>
          </cell>
          <cell r="R288">
            <v>1</v>
          </cell>
          <cell r="S288">
            <v>0</v>
          </cell>
          <cell r="T288">
            <v>0</v>
          </cell>
          <cell r="U288">
            <v>5.5298734770704989</v>
          </cell>
          <cell r="V288">
            <v>0.78987280697563333</v>
          </cell>
          <cell r="W288" t="str">
            <v>ความเสี่ยงต่ำ</v>
          </cell>
        </row>
        <row r="289">
          <cell r="A289">
            <v>660076</v>
          </cell>
          <cell r="B289" t="str">
            <v>นาย</v>
          </cell>
          <cell r="C289" t="str">
            <v>นนทกรณ์</v>
          </cell>
          <cell r="D289" t="str">
            <v>ภาคนะถา</v>
          </cell>
          <cell r="E289" t="str">
            <v>บง.วบก.</v>
          </cell>
          <cell r="F289" t="str">
            <v>Maintenance</v>
          </cell>
          <cell r="G289">
            <v>25.385352498288832</v>
          </cell>
          <cell r="H289" t="str">
            <v>Male</v>
          </cell>
          <cell r="I289" t="str">
            <v>ไม่สูบ</v>
          </cell>
          <cell r="J289">
            <v>102</v>
          </cell>
          <cell r="K289">
            <v>178.5</v>
          </cell>
          <cell r="L289">
            <v>79.7</v>
          </cell>
          <cell r="M289">
            <v>25.013927139483243</v>
          </cell>
          <cell r="N289">
            <v>82</v>
          </cell>
          <cell r="O289" t="str">
            <v>ไม่มี</v>
          </cell>
          <cell r="P289">
            <v>77</v>
          </cell>
          <cell r="Q289">
            <v>247</v>
          </cell>
          <cell r="R289">
            <v>1</v>
          </cell>
          <cell r="S289">
            <v>0</v>
          </cell>
          <cell r="T289">
            <v>0</v>
          </cell>
          <cell r="U289">
            <v>5.1215933949349752</v>
          </cell>
          <cell r="V289">
            <v>0.52579925542197703</v>
          </cell>
          <cell r="W289" t="str">
            <v>ความเสี่ยงต่ำ</v>
          </cell>
        </row>
        <row r="290">
          <cell r="A290">
            <v>400235</v>
          </cell>
          <cell r="B290" t="str">
            <v>นาย</v>
          </cell>
          <cell r="C290" t="str">
            <v>อภิสิทธิ์</v>
          </cell>
          <cell r="D290" t="str">
            <v>ยังชั่งเขียน</v>
          </cell>
          <cell r="E290" t="str">
            <v>ผ.ปก.C ปก.</v>
          </cell>
          <cell r="F290" t="str">
            <v>Operation</v>
          </cell>
          <cell r="G290">
            <v>48.999315537303204</v>
          </cell>
          <cell r="H290" t="str">
            <v>Male</v>
          </cell>
          <cell r="I290" t="str">
            <v>ไม่สูบ</v>
          </cell>
          <cell r="J290">
            <v>126</v>
          </cell>
          <cell r="K290">
            <v>171.5</v>
          </cell>
          <cell r="L290">
            <v>73.2</v>
          </cell>
          <cell r="M290">
            <v>24.887589354775645</v>
          </cell>
          <cell r="N290">
            <v>87</v>
          </cell>
          <cell r="O290" t="str">
            <v>ไม่มี</v>
          </cell>
          <cell r="P290">
            <v>89</v>
          </cell>
          <cell r="Q290">
            <v>202</v>
          </cell>
          <cell r="R290">
            <v>1</v>
          </cell>
          <cell r="S290">
            <v>0</v>
          </cell>
          <cell r="T290">
            <v>0</v>
          </cell>
          <cell r="U290">
            <v>7.4586839904175211</v>
          </cell>
          <cell r="V290">
            <v>5.3107279802773739</v>
          </cell>
          <cell r="W290" t="str">
            <v>ความเสี่ยงต่ำ</v>
          </cell>
        </row>
        <row r="291">
          <cell r="A291">
            <v>650100</v>
          </cell>
          <cell r="B291" t="str">
            <v>นาย</v>
          </cell>
          <cell r="C291" t="str">
            <v>ชยพล</v>
          </cell>
          <cell r="D291" t="str">
            <v>ทิพวรรณ</v>
          </cell>
          <cell r="E291" t="str">
            <v>บฟ.วบก.</v>
          </cell>
          <cell r="F291" t="str">
            <v>Maintenance</v>
          </cell>
          <cell r="G291">
            <v>26.209445585215601</v>
          </cell>
          <cell r="H291" t="str">
            <v>Male</v>
          </cell>
          <cell r="I291" t="str">
            <v>ไม่ระบุ</v>
          </cell>
          <cell r="J291">
            <v>116</v>
          </cell>
          <cell r="K291">
            <v>175.5</v>
          </cell>
          <cell r="L291">
            <v>67.599999999999994</v>
          </cell>
          <cell r="M291">
            <v>21.947873799725652</v>
          </cell>
          <cell r="N291">
            <v>81</v>
          </cell>
          <cell r="O291" t="str">
            <v>ไม่มี</v>
          </cell>
          <cell r="P291">
            <v>90</v>
          </cell>
          <cell r="Q291">
            <v>229</v>
          </cell>
          <cell r="R291">
            <v>1</v>
          </cell>
          <cell r="S291">
            <v>1</v>
          </cell>
          <cell r="T291">
            <v>0</v>
          </cell>
          <cell r="U291">
            <v>5.8617889322381922</v>
          </cell>
          <cell r="V291">
            <v>1.0990803596943266</v>
          </cell>
          <cell r="W291" t="str">
            <v>ความเสี่ยงต่ำ</v>
          </cell>
        </row>
        <row r="292">
          <cell r="A292">
            <v>580296</v>
          </cell>
          <cell r="B292" t="str">
            <v>นาย</v>
          </cell>
          <cell r="C292" t="str">
            <v>นธี</v>
          </cell>
          <cell r="D292" t="str">
            <v>จุฑาธิปไตย</v>
          </cell>
          <cell r="E292" t="str">
            <v>คผ.A ปต.</v>
          </cell>
          <cell r="F292" t="str">
            <v>Operation</v>
          </cell>
          <cell r="G292">
            <v>30.724161533196423</v>
          </cell>
          <cell r="H292" t="str">
            <v>Male</v>
          </cell>
          <cell r="I292" t="str">
            <v>ไม่ระบุ</v>
          </cell>
          <cell r="J292">
            <v>127</v>
          </cell>
          <cell r="K292">
            <v>178</v>
          </cell>
          <cell r="L292">
            <v>91.5</v>
          </cell>
          <cell r="M292">
            <v>28.878929428102513</v>
          </cell>
          <cell r="N292">
            <v>92</v>
          </cell>
          <cell r="O292" t="str">
            <v>ไม่มี</v>
          </cell>
          <cell r="P292">
            <v>100</v>
          </cell>
          <cell r="Q292">
            <v>289</v>
          </cell>
          <cell r="R292">
            <v>1</v>
          </cell>
          <cell r="S292">
            <v>1</v>
          </cell>
          <cell r="T292">
            <v>0</v>
          </cell>
          <cell r="U292">
            <v>6.5876681382614626</v>
          </cell>
          <cell r="V292">
            <v>2.257992380730145</v>
          </cell>
          <cell r="W292" t="str">
            <v>ความเสี่ยงต่ำ</v>
          </cell>
        </row>
        <row r="293">
          <cell r="A293">
            <v>550185</v>
          </cell>
          <cell r="B293" t="str">
            <v>นาย</v>
          </cell>
          <cell r="C293" t="str">
            <v>วรพล</v>
          </cell>
          <cell r="D293" t="str">
            <v>แสงเพชร</v>
          </cell>
          <cell r="E293" t="str">
            <v>ผ.ปก.D ปอ.</v>
          </cell>
          <cell r="F293" t="str">
            <v>Operation</v>
          </cell>
          <cell r="G293">
            <v>36.73100616016422</v>
          </cell>
          <cell r="H293" t="str">
            <v>Male</v>
          </cell>
          <cell r="I293" t="str">
            <v>ไม่สูบ</v>
          </cell>
          <cell r="J293">
            <v>135</v>
          </cell>
          <cell r="K293">
            <v>170.5</v>
          </cell>
          <cell r="L293">
            <v>91.4</v>
          </cell>
          <cell r="M293">
            <v>31.441078078103903</v>
          </cell>
          <cell r="N293">
            <v>103</v>
          </cell>
          <cell r="O293" t="str">
            <v>ไม่มี</v>
          </cell>
          <cell r="P293">
            <v>103</v>
          </cell>
          <cell r="Q293">
            <v>283</v>
          </cell>
          <cell r="R293">
            <v>1</v>
          </cell>
          <cell r="S293">
            <v>0</v>
          </cell>
          <cell r="T293">
            <v>0</v>
          </cell>
          <cell r="U293">
            <v>6.8140482340862389</v>
          </cell>
          <cell r="V293">
            <v>2.8234725117457837</v>
          </cell>
          <cell r="W293" t="str">
            <v>ความเสี่ยงต่ำ</v>
          </cell>
        </row>
        <row r="294">
          <cell r="A294">
            <v>610020</v>
          </cell>
          <cell r="B294" t="str">
            <v>นางสาว</v>
          </cell>
          <cell r="C294" t="str">
            <v>วิภานันท์</v>
          </cell>
          <cell r="D294" t="str">
            <v>รัตนบันดาล</v>
          </cell>
          <cell r="E294" t="str">
            <v>วก.วบก.</v>
          </cell>
          <cell r="F294" t="str">
            <v>Maintenance</v>
          </cell>
          <cell r="G294">
            <v>34.272416153319647</v>
          </cell>
          <cell r="H294" t="str">
            <v>Female</v>
          </cell>
          <cell r="I294" t="str">
            <v>ไม่สูบ</v>
          </cell>
          <cell r="J294">
            <v>106</v>
          </cell>
          <cell r="K294">
            <v>157.5</v>
          </cell>
          <cell r="L294">
            <v>57.7</v>
          </cell>
          <cell r="M294">
            <v>23.260267069790881</v>
          </cell>
          <cell r="N294">
            <v>73</v>
          </cell>
          <cell r="O294" t="str">
            <v>ไม่มี</v>
          </cell>
          <cell r="P294">
            <v>81</v>
          </cell>
          <cell r="Q294">
            <v>200</v>
          </cell>
          <cell r="R294">
            <v>0</v>
          </cell>
          <cell r="S294">
            <v>0</v>
          </cell>
          <cell r="T294">
            <v>0</v>
          </cell>
          <cell r="U294">
            <v>5.4375518138261469</v>
          </cell>
          <cell r="V294">
            <v>0.72046691417032571</v>
          </cell>
          <cell r="W294" t="str">
            <v>ความเสี่ยงต่ำ</v>
          </cell>
        </row>
        <row r="295">
          <cell r="A295">
            <v>640013</v>
          </cell>
          <cell r="B295" t="str">
            <v>นาย</v>
          </cell>
          <cell r="C295" t="str">
            <v>ณัฐนนท์</v>
          </cell>
          <cell r="D295" t="str">
            <v>อรุณพันธุ์</v>
          </cell>
          <cell r="E295" t="str">
            <v>วก.วบก.</v>
          </cell>
          <cell r="F295" t="str">
            <v>Maintenance</v>
          </cell>
          <cell r="G295">
            <v>29.004791238877477</v>
          </cell>
          <cell r="H295" t="str">
            <v>Male</v>
          </cell>
          <cell r="I295" t="str">
            <v>สูบ 2 มวนต่อวัน</v>
          </cell>
          <cell r="J295">
            <v>109</v>
          </cell>
          <cell r="K295">
            <v>180</v>
          </cell>
          <cell r="L295">
            <v>75.3</v>
          </cell>
          <cell r="M295">
            <v>23.24074074074074</v>
          </cell>
          <cell r="N295">
            <v>76</v>
          </cell>
          <cell r="O295" t="str">
            <v>โรคภูมิแพ้</v>
          </cell>
          <cell r="P295">
            <v>92</v>
          </cell>
          <cell r="Q295">
            <v>232</v>
          </cell>
          <cell r="R295">
            <v>1</v>
          </cell>
          <cell r="S295">
            <v>1</v>
          </cell>
          <cell r="T295">
            <v>0</v>
          </cell>
          <cell r="U295">
            <v>5.9510120670773432</v>
          </cell>
          <cell r="V295">
            <v>1.2010332491261155</v>
          </cell>
          <cell r="W295" t="str">
            <v>ความเสี่ยงต่ำ</v>
          </cell>
        </row>
        <row r="296">
          <cell r="A296">
            <v>490039</v>
          </cell>
          <cell r="B296" t="str">
            <v>นาย</v>
          </cell>
          <cell r="C296" t="str">
            <v>พีระยุทธ</v>
          </cell>
          <cell r="D296" t="str">
            <v>กิจนพเก้า</v>
          </cell>
          <cell r="E296" t="str">
            <v>คผ.D ปล.</v>
          </cell>
          <cell r="F296" t="str">
            <v>Operation</v>
          </cell>
          <cell r="G296">
            <v>41.522245037645447</v>
          </cell>
          <cell r="H296" t="str">
            <v>Male</v>
          </cell>
          <cell r="I296" t="str">
            <v>ไม่ระบุ</v>
          </cell>
          <cell r="J296">
            <v>120</v>
          </cell>
          <cell r="K296">
            <v>168</v>
          </cell>
          <cell r="L296">
            <v>78.400000000000006</v>
          </cell>
          <cell r="M296">
            <v>27.777777777777775</v>
          </cell>
          <cell r="N296">
            <v>96</v>
          </cell>
          <cell r="O296" t="str">
            <v>ไม่มี</v>
          </cell>
          <cell r="P296">
            <v>137</v>
          </cell>
          <cell r="Q296">
            <v>299</v>
          </cell>
          <cell r="R296">
            <v>1</v>
          </cell>
          <cell r="S296">
            <v>1</v>
          </cell>
          <cell r="T296">
            <v>0</v>
          </cell>
          <cell r="U296">
            <v>7.3465953114305265</v>
          </cell>
          <cell r="V296">
            <v>4.7612415500735583</v>
          </cell>
          <cell r="W296" t="str">
            <v>ความเสี่ยงต่ำ</v>
          </cell>
        </row>
        <row r="297">
          <cell r="A297">
            <v>510012</v>
          </cell>
          <cell r="B297" t="str">
            <v>นาง</v>
          </cell>
          <cell r="C297" t="str">
            <v>น้ำผึ้ง</v>
          </cell>
          <cell r="D297" t="str">
            <v>สงวนตั้ง</v>
          </cell>
          <cell r="E297" t="str">
            <v>ปภ.ผยก.</v>
          </cell>
          <cell r="F297" t="str">
            <v>Support</v>
          </cell>
          <cell r="G297">
            <v>47.192334017796028</v>
          </cell>
          <cell r="H297" t="str">
            <v>Female</v>
          </cell>
          <cell r="I297" t="str">
            <v>ไม่สูบ</v>
          </cell>
          <cell r="J297">
            <v>113</v>
          </cell>
          <cell r="K297">
            <v>160.5</v>
          </cell>
          <cell r="L297">
            <v>49.1</v>
          </cell>
          <cell r="M297">
            <v>19.060374025873195</v>
          </cell>
          <cell r="N297">
            <v>77</v>
          </cell>
          <cell r="O297" t="str">
            <v>ไม่มี</v>
          </cell>
          <cell r="P297">
            <v>93</v>
          </cell>
          <cell r="Q297">
            <v>190</v>
          </cell>
          <cell r="R297">
            <v>0</v>
          </cell>
          <cell r="S297">
            <v>0</v>
          </cell>
          <cell r="T297">
            <v>0</v>
          </cell>
          <cell r="U297">
            <v>6.6194686926762492</v>
          </cell>
          <cell r="V297">
            <v>2.3300951291121308</v>
          </cell>
          <cell r="W297" t="str">
            <v>ความเสี่ยงต่ำ</v>
          </cell>
        </row>
        <row r="298">
          <cell r="A298">
            <v>640136</v>
          </cell>
          <cell r="B298" t="str">
            <v>นาย</v>
          </cell>
          <cell r="C298" t="str">
            <v>ไตรเทพ</v>
          </cell>
          <cell r="D298" t="str">
            <v>นวนนบ</v>
          </cell>
          <cell r="E298" t="str">
            <v>บฟ.วบก.</v>
          </cell>
          <cell r="F298" t="str">
            <v>Maintenance</v>
          </cell>
          <cell r="G298">
            <v>28.435318275154</v>
          </cell>
          <cell r="H298" t="str">
            <v>Male</v>
          </cell>
          <cell r="I298" t="str">
            <v>ไม่สูบ</v>
          </cell>
          <cell r="J298">
            <v>146</v>
          </cell>
          <cell r="K298">
            <v>169</v>
          </cell>
          <cell r="L298">
            <v>105.1</v>
          </cell>
          <cell r="M298">
            <v>36.798431427471023</v>
          </cell>
          <cell r="N298">
            <v>106</v>
          </cell>
          <cell r="O298" t="str">
            <v>ไม่มี</v>
          </cell>
          <cell r="P298">
            <v>84</v>
          </cell>
          <cell r="Q298">
            <v>184</v>
          </cell>
          <cell r="R298">
            <v>1</v>
          </cell>
          <cell r="S298">
            <v>0</v>
          </cell>
          <cell r="T298">
            <v>0</v>
          </cell>
          <cell r="U298">
            <v>6.154572094455852</v>
          </cell>
          <cell r="V298">
            <v>1.4701749180282442</v>
          </cell>
          <cell r="W298" t="str">
            <v>ความเสี่ยงต่ำ</v>
          </cell>
        </row>
        <row r="299">
          <cell r="A299">
            <v>500115</v>
          </cell>
          <cell r="B299" t="str">
            <v>นาย</v>
          </cell>
          <cell r="C299" t="str">
            <v>สหพงศ์</v>
          </cell>
          <cell r="D299" t="str">
            <v>นพเจริญ</v>
          </cell>
          <cell r="E299" t="str">
            <v>วป.วบก.</v>
          </cell>
          <cell r="F299" t="str">
            <v>Maintenance</v>
          </cell>
          <cell r="G299">
            <v>42.436687200547567</v>
          </cell>
          <cell r="H299" t="str">
            <v>Male</v>
          </cell>
          <cell r="I299" t="str">
            <v>ไม่สูบ</v>
          </cell>
          <cell r="J299">
            <v>107</v>
          </cell>
          <cell r="K299">
            <v>181</v>
          </cell>
          <cell r="L299">
            <v>74.3</v>
          </cell>
          <cell r="M299">
            <v>22.679405390555843</v>
          </cell>
          <cell r="N299">
            <v>82</v>
          </cell>
          <cell r="O299" t="str">
            <v>ไม่มี</v>
          </cell>
          <cell r="P299">
            <v>82</v>
          </cell>
          <cell r="Q299">
            <v>224</v>
          </cell>
          <cell r="R299">
            <v>1</v>
          </cell>
          <cell r="S299">
            <v>0</v>
          </cell>
          <cell r="T299">
            <v>0</v>
          </cell>
          <cell r="U299">
            <v>6.5723441136208072</v>
          </cell>
          <cell r="V299">
            <v>2.2240393456152696</v>
          </cell>
          <cell r="W299" t="str">
            <v>ความเสี่ยงต่ำ</v>
          </cell>
        </row>
        <row r="300">
          <cell r="A300">
            <v>480219</v>
          </cell>
          <cell r="B300" t="str">
            <v>นาย</v>
          </cell>
          <cell r="C300" t="str">
            <v>อรรถพล</v>
          </cell>
          <cell r="D300" t="str">
            <v>พลสวัสดิ์</v>
          </cell>
          <cell r="E300" t="str">
            <v>คผ.D ปล.</v>
          </cell>
          <cell r="F300" t="str">
            <v>Operation</v>
          </cell>
          <cell r="G300">
            <v>40.720054757015745</v>
          </cell>
          <cell r="H300" t="str">
            <v>Male</v>
          </cell>
          <cell r="I300" t="str">
            <v>ไม่สูบ</v>
          </cell>
          <cell r="J300">
            <v>105</v>
          </cell>
          <cell r="K300">
            <v>168.5</v>
          </cell>
          <cell r="L300">
            <v>70.3</v>
          </cell>
          <cell r="M300">
            <v>24.760277892734813</v>
          </cell>
          <cell r="N300">
            <v>90</v>
          </cell>
          <cell r="O300" t="str">
            <v>ไม่มี</v>
          </cell>
          <cell r="P300">
            <v>88</v>
          </cell>
          <cell r="Q300">
            <v>218</v>
          </cell>
          <cell r="R300">
            <v>1</v>
          </cell>
          <cell r="S300">
            <v>0</v>
          </cell>
          <cell r="T300">
            <v>0</v>
          </cell>
          <cell r="U300">
            <v>6.3774720807665988</v>
          </cell>
          <cell r="V300">
            <v>1.8338863420438334</v>
          </cell>
          <cell r="W300" t="str">
            <v>ความเสี่ยงต่ำ</v>
          </cell>
        </row>
        <row r="301">
          <cell r="A301">
            <v>600248</v>
          </cell>
          <cell r="B301" t="str">
            <v>นางสาว</v>
          </cell>
          <cell r="C301" t="str">
            <v>กัลยรัตน์</v>
          </cell>
          <cell r="D301" t="str">
            <v>ตันติเหตุ</v>
          </cell>
          <cell r="E301" t="str">
            <v>วผ.ทผก.</v>
          </cell>
          <cell r="F301" t="str">
            <v>Support</v>
          </cell>
          <cell r="G301">
            <v>32.164271047227928</v>
          </cell>
          <cell r="H301" t="str">
            <v>Female</v>
          </cell>
          <cell r="I301" t="str">
            <v>ไม่สูบ</v>
          </cell>
          <cell r="J301">
            <v>115</v>
          </cell>
          <cell r="K301">
            <v>170.5</v>
          </cell>
          <cell r="L301">
            <v>91.9</v>
          </cell>
          <cell r="M301">
            <v>31.613075222951299</v>
          </cell>
          <cell r="N301">
            <v>96</v>
          </cell>
          <cell r="O301" t="str">
            <v>ไม่มี</v>
          </cell>
          <cell r="P301">
            <v>95</v>
          </cell>
          <cell r="Q301">
            <v>141</v>
          </cell>
          <cell r="R301">
            <v>0</v>
          </cell>
          <cell r="S301">
            <v>0</v>
          </cell>
          <cell r="T301">
            <v>0</v>
          </cell>
          <cell r="U301">
            <v>5.3275222997946612</v>
          </cell>
          <cell r="V301">
            <v>0.6456426927349046</v>
          </cell>
          <cell r="W301" t="str">
            <v>ความเสี่ยงต่ำ</v>
          </cell>
        </row>
        <row r="302">
          <cell r="A302">
            <v>480042</v>
          </cell>
          <cell r="B302" t="str">
            <v>นาย</v>
          </cell>
          <cell r="C302" t="str">
            <v>หิรัณย์</v>
          </cell>
          <cell r="D302" t="str">
            <v>เวชวิทย์วรากุล</v>
          </cell>
          <cell r="E302" t="str">
            <v>วป.วบก.</v>
          </cell>
          <cell r="F302" t="str">
            <v>Maintenance</v>
          </cell>
          <cell r="G302">
            <v>44.867898699520879</v>
          </cell>
          <cell r="H302" t="str">
            <v>Male</v>
          </cell>
          <cell r="I302" t="str">
            <v>ไม่สูบ</v>
          </cell>
          <cell r="J302">
            <v>135</v>
          </cell>
          <cell r="K302">
            <v>172.5</v>
          </cell>
          <cell r="L302">
            <v>86.8</v>
          </cell>
          <cell r="M302">
            <v>29.170342365049358</v>
          </cell>
          <cell r="N302">
            <v>99</v>
          </cell>
          <cell r="O302" t="str">
            <v>ไขมันในเลือดสูง</v>
          </cell>
          <cell r="P302">
            <v>78</v>
          </cell>
          <cell r="Q302">
            <v>202</v>
          </cell>
          <cell r="R302">
            <v>1</v>
          </cell>
          <cell r="S302">
            <v>0</v>
          </cell>
          <cell r="T302">
            <v>0</v>
          </cell>
          <cell r="U302">
            <v>7.3081701505817938</v>
          </cell>
          <cell r="V302">
            <v>4.5859415599183606</v>
          </cell>
          <cell r="W302" t="str">
            <v>ความเสี่ยงต่ำ</v>
          </cell>
        </row>
        <row r="303">
          <cell r="A303">
            <v>610182</v>
          </cell>
          <cell r="B303" t="str">
            <v>นางสาว</v>
          </cell>
          <cell r="C303" t="str">
            <v>เอื้ออังกูร</v>
          </cell>
          <cell r="D303" t="str">
            <v>มหาวงค์</v>
          </cell>
          <cell r="E303" t="str">
            <v>กช.บรก.</v>
          </cell>
          <cell r="F303" t="str">
            <v>Support</v>
          </cell>
          <cell r="G303">
            <v>32.544832306639286</v>
          </cell>
          <cell r="H303" t="str">
            <v>Female</v>
          </cell>
          <cell r="I303" t="str">
            <v>ไม่สูบ</v>
          </cell>
          <cell r="J303">
            <v>96</v>
          </cell>
          <cell r="K303">
            <v>148.5</v>
          </cell>
          <cell r="L303">
            <v>56.2</v>
          </cell>
          <cell r="M303">
            <v>25.484927841830199</v>
          </cell>
          <cell r="N303">
            <v>76</v>
          </cell>
          <cell r="O303" t="str">
            <v>โรคโลหิตจาง</v>
          </cell>
          <cell r="P303">
            <v>84</v>
          </cell>
          <cell r="Q303">
            <v>157</v>
          </cell>
          <cell r="R303">
            <v>0</v>
          </cell>
          <cell r="S303">
            <v>0</v>
          </cell>
          <cell r="T303">
            <v>0</v>
          </cell>
          <cell r="U303">
            <v>4.9966236276522933</v>
          </cell>
          <cell r="V303">
            <v>0.46417383789550959</v>
          </cell>
          <cell r="W303" t="str">
            <v>ความเสี่ยงต่ำ</v>
          </cell>
        </row>
        <row r="304">
          <cell r="A304">
            <v>470058</v>
          </cell>
          <cell r="B304" t="str">
            <v>นาย</v>
          </cell>
          <cell r="C304" t="str">
            <v>นิธิวัชร์</v>
          </cell>
          <cell r="D304" t="str">
            <v>วราสิริเลิศชัย</v>
          </cell>
          <cell r="E304" t="str">
            <v>คผ.D ปผ.</v>
          </cell>
          <cell r="F304" t="str">
            <v>Operation</v>
          </cell>
          <cell r="G304">
            <v>45.812457221081452</v>
          </cell>
          <cell r="H304" t="str">
            <v>Male</v>
          </cell>
          <cell r="I304" t="str">
            <v>ไม่สูบ</v>
          </cell>
          <cell r="J304">
            <v>122</v>
          </cell>
          <cell r="K304">
            <v>179</v>
          </cell>
          <cell r="L304">
            <v>70.8</v>
          </cell>
          <cell r="M304">
            <v>22.096688617708558</v>
          </cell>
          <cell r="N304">
            <v>89</v>
          </cell>
          <cell r="O304" t="str">
            <v>ไม่มี</v>
          </cell>
          <cell r="P304">
            <v>84</v>
          </cell>
          <cell r="Q304">
            <v>189</v>
          </cell>
          <cell r="R304">
            <v>1</v>
          </cell>
          <cell r="S304">
            <v>0</v>
          </cell>
          <cell r="T304">
            <v>0</v>
          </cell>
          <cell r="U304">
            <v>7.0869833744010959</v>
          </cell>
          <cell r="V304">
            <v>3.6929791344289087</v>
          </cell>
          <cell r="W304" t="str">
            <v>ความเสี่ยงต่ำ</v>
          </cell>
        </row>
        <row r="305">
          <cell r="A305">
            <v>550190</v>
          </cell>
          <cell r="B305" t="str">
            <v>นาย</v>
          </cell>
          <cell r="C305" t="str">
            <v>พรหมพจ</v>
          </cell>
          <cell r="D305" t="str">
            <v>วงษ์สวัสดิ์</v>
          </cell>
          <cell r="E305" t="str">
            <v>บค.วบก.</v>
          </cell>
          <cell r="F305" t="str">
            <v>Maintenance</v>
          </cell>
          <cell r="G305">
            <v>34.403832991101986</v>
          </cell>
          <cell r="H305" t="str">
            <v>Male</v>
          </cell>
          <cell r="I305" t="str">
            <v>ไม่สูบ</v>
          </cell>
          <cell r="J305">
            <v>107</v>
          </cell>
          <cell r="K305">
            <v>166</v>
          </cell>
          <cell r="L305">
            <v>69</v>
          </cell>
          <cell r="M305">
            <v>25.03991871098853</v>
          </cell>
          <cell r="N305">
            <v>87</v>
          </cell>
          <cell r="O305" t="str">
            <v>ไม่มี</v>
          </cell>
          <cell r="P305">
            <v>96</v>
          </cell>
          <cell r="Q305">
            <v>230</v>
          </cell>
          <cell r="R305">
            <v>1</v>
          </cell>
          <cell r="S305">
            <v>0</v>
          </cell>
          <cell r="T305">
            <v>0</v>
          </cell>
          <cell r="U305">
            <v>5.927735653661875</v>
          </cell>
          <cell r="V305">
            <v>1.1735631380307754</v>
          </cell>
          <cell r="W305" t="str">
            <v>ความเสี่ยงต่ำ</v>
          </cell>
        </row>
        <row r="306">
          <cell r="A306">
            <v>570242</v>
          </cell>
          <cell r="B306" t="str">
            <v>นางสาว</v>
          </cell>
          <cell r="C306" t="str">
            <v>ศิโรรัตน์</v>
          </cell>
          <cell r="D306" t="str">
            <v>จันทาพูน</v>
          </cell>
          <cell r="E306" t="str">
            <v>ปภ.ผยก.</v>
          </cell>
          <cell r="F306" t="str">
            <v>Support</v>
          </cell>
          <cell r="G306">
            <v>33.705681040383297</v>
          </cell>
          <cell r="H306" t="str">
            <v>Female</v>
          </cell>
          <cell r="I306" t="str">
            <v>ไม่สูบ</v>
          </cell>
          <cell r="J306">
            <v>108</v>
          </cell>
          <cell r="K306">
            <v>164.5</v>
          </cell>
          <cell r="L306">
            <v>74.099999999999994</v>
          </cell>
          <cell r="M306">
            <v>27.383339030496764</v>
          </cell>
          <cell r="N306">
            <v>86</v>
          </cell>
          <cell r="O306" t="str">
            <v>ไม่มี</v>
          </cell>
          <cell r="P306">
            <v>85</v>
          </cell>
          <cell r="Q306">
            <v>218</v>
          </cell>
          <cell r="R306">
            <v>0</v>
          </cell>
          <cell r="S306">
            <v>0</v>
          </cell>
          <cell r="T306">
            <v>0</v>
          </cell>
          <cell r="U306">
            <v>5.4710158795345656</v>
          </cell>
          <cell r="V306">
            <v>0.74489307010734418</v>
          </cell>
          <cell r="W306" t="str">
            <v>ความเสี่ยงต่ำ</v>
          </cell>
        </row>
        <row r="307">
          <cell r="A307">
            <v>650079</v>
          </cell>
          <cell r="B307" t="str">
            <v>นาย</v>
          </cell>
          <cell r="C307" t="str">
            <v>วรศักดิ์</v>
          </cell>
          <cell r="D307" t="str">
            <v>แสงโชติ</v>
          </cell>
          <cell r="E307" t="str">
            <v>บง.วบก.</v>
          </cell>
          <cell r="F307" t="str">
            <v>Maintenance</v>
          </cell>
          <cell r="G307">
            <v>29.034907597535931</v>
          </cell>
          <cell r="H307" t="str">
            <v>Male</v>
          </cell>
          <cell r="I307" t="str">
            <v>ไม่สูบ</v>
          </cell>
          <cell r="J307">
            <v>115</v>
          </cell>
          <cell r="K307">
            <v>176.5</v>
          </cell>
          <cell r="L307">
            <v>57</v>
          </cell>
          <cell r="M307">
            <v>18.297233747161119</v>
          </cell>
          <cell r="N307">
            <v>72</v>
          </cell>
          <cell r="O307" t="str">
            <v>ไม่มี</v>
          </cell>
          <cell r="P307">
            <v>78</v>
          </cell>
          <cell r="Q307">
            <v>196</v>
          </cell>
          <cell r="R307">
            <v>1</v>
          </cell>
          <cell r="S307">
            <v>0</v>
          </cell>
          <cell r="T307">
            <v>0</v>
          </cell>
          <cell r="U307">
            <v>5.583036488706365</v>
          </cell>
          <cell r="V307">
            <v>0.83282100300460238</v>
          </cell>
          <cell r="W307" t="str">
            <v>ความเสี่ยงต่ำ</v>
          </cell>
        </row>
        <row r="308">
          <cell r="A308">
            <v>470063</v>
          </cell>
          <cell r="B308" t="str">
            <v>นาย</v>
          </cell>
          <cell r="C308" t="str">
            <v>ทิวา</v>
          </cell>
          <cell r="D308" t="str">
            <v>ปลื้มใจ</v>
          </cell>
          <cell r="E308" t="str">
            <v>คผ.C ปล.</v>
          </cell>
          <cell r="F308" t="str">
            <v>Operation</v>
          </cell>
          <cell r="G308">
            <v>41.806981519507183</v>
          </cell>
          <cell r="H308" t="str">
            <v>Male</v>
          </cell>
          <cell r="I308" t="str">
            <v>ไม่สูบ</v>
          </cell>
          <cell r="J308">
            <v>118</v>
          </cell>
          <cell r="K308">
            <v>182</v>
          </cell>
          <cell r="L308">
            <v>80.3</v>
          </cell>
          <cell r="M308">
            <v>24.242241275208308</v>
          </cell>
          <cell r="N308">
            <v>94</v>
          </cell>
          <cell r="O308" t="str">
            <v>ไม่มี</v>
          </cell>
          <cell r="P308">
            <v>77</v>
          </cell>
          <cell r="Q308">
            <v>290</v>
          </cell>
          <cell r="R308">
            <v>1</v>
          </cell>
          <cell r="S308">
            <v>0</v>
          </cell>
          <cell r="T308">
            <v>0</v>
          </cell>
          <cell r="U308">
            <v>6.8899752977412723</v>
          </cell>
          <cell r="V308">
            <v>3.0427768226013008</v>
          </cell>
          <cell r="W308" t="str">
            <v>ความเสี่ยงต่ำ</v>
          </cell>
        </row>
        <row r="309">
          <cell r="A309">
            <v>470099</v>
          </cell>
          <cell r="B309" t="str">
            <v>นาย</v>
          </cell>
          <cell r="C309" t="str">
            <v>ไพแก้ว</v>
          </cell>
          <cell r="D309" t="str">
            <v>เล็กน้อย</v>
          </cell>
          <cell r="E309" t="str">
            <v>คผ.D ปต.</v>
          </cell>
          <cell r="F309" t="str">
            <v>Operation</v>
          </cell>
          <cell r="G309">
            <v>45.571526351813823</v>
          </cell>
          <cell r="H309" t="str">
            <v>Male</v>
          </cell>
          <cell r="I309" t="str">
            <v>ไม่สูบ</v>
          </cell>
          <cell r="J309">
            <v>152</v>
          </cell>
          <cell r="K309">
            <v>178.5</v>
          </cell>
          <cell r="L309">
            <v>84</v>
          </cell>
          <cell r="M309">
            <v>26.363486571099028</v>
          </cell>
          <cell r="N309">
            <v>93</v>
          </cell>
          <cell r="O309" t="str">
            <v>ไม่มี</v>
          </cell>
          <cell r="P309">
            <v>101</v>
          </cell>
          <cell r="Q309">
            <v>251</v>
          </cell>
          <cell r="R309">
            <v>1</v>
          </cell>
          <cell r="S309">
            <v>0</v>
          </cell>
          <cell r="T309">
            <v>0</v>
          </cell>
          <cell r="U309">
            <v>7.8239080013689248</v>
          </cell>
          <cell r="V309">
            <v>7.561414796882115</v>
          </cell>
          <cell r="W309" t="str">
            <v>ความเสี่ยงต่ำ</v>
          </cell>
        </row>
        <row r="310">
          <cell r="A310">
            <v>490118</v>
          </cell>
          <cell r="B310" t="str">
            <v>นาย</v>
          </cell>
          <cell r="C310" t="str">
            <v>พิเชฐ</v>
          </cell>
          <cell r="D310" t="str">
            <v>บุญทันเสน</v>
          </cell>
          <cell r="E310" t="str">
            <v>คผ.C ปผ.</v>
          </cell>
          <cell r="F310" t="str">
            <v>Operation</v>
          </cell>
          <cell r="G310">
            <v>39.991786447638596</v>
          </cell>
          <cell r="H310" t="str">
            <v>Male</v>
          </cell>
          <cell r="I310" t="str">
            <v>ไม่สูบ</v>
          </cell>
          <cell r="J310">
            <v>150</v>
          </cell>
          <cell r="K310">
            <v>170.5</v>
          </cell>
          <cell r="L310">
            <v>66.5</v>
          </cell>
          <cell r="M310">
            <v>22.875620264703606</v>
          </cell>
          <cell r="N310">
            <v>78</v>
          </cell>
          <cell r="O310" t="str">
            <v>ไม่มี</v>
          </cell>
          <cell r="P310">
            <v>80</v>
          </cell>
          <cell r="Q310">
            <v>286</v>
          </cell>
          <cell r="R310">
            <v>1</v>
          </cell>
          <cell r="S310">
            <v>0</v>
          </cell>
          <cell r="T310">
            <v>0</v>
          </cell>
          <cell r="U310">
            <v>7.3998378850102666</v>
          </cell>
          <cell r="V310">
            <v>5.0149743816704895</v>
          </cell>
          <cell r="W310" t="str">
            <v>ความเสี่ยงต่ำ</v>
          </cell>
        </row>
        <row r="311">
          <cell r="A311">
            <v>570174</v>
          </cell>
          <cell r="B311" t="str">
            <v>นาย</v>
          </cell>
          <cell r="C311" t="str">
            <v>พลากร</v>
          </cell>
          <cell r="D311" t="str">
            <v>พุทธชาติ</v>
          </cell>
          <cell r="E311" t="str">
            <v>คผ.C ปล.</v>
          </cell>
          <cell r="F311" t="str">
            <v>Operation</v>
          </cell>
          <cell r="G311">
            <v>31.893223819301834</v>
          </cell>
          <cell r="H311" t="str">
            <v>Male</v>
          </cell>
          <cell r="I311" t="str">
            <v>ไม่สูบ</v>
          </cell>
          <cell r="J311">
            <v>111</v>
          </cell>
          <cell r="K311">
            <v>167</v>
          </cell>
          <cell r="L311">
            <v>65.5</v>
          </cell>
          <cell r="M311">
            <v>23.485962207321883</v>
          </cell>
          <cell r="N311">
            <v>87</v>
          </cell>
          <cell r="O311" t="str">
            <v>ไม่มี</v>
          </cell>
          <cell r="P311">
            <v>87</v>
          </cell>
          <cell r="Q311">
            <v>222</v>
          </cell>
          <cell r="R311">
            <v>1</v>
          </cell>
          <cell r="S311">
            <v>0</v>
          </cell>
          <cell r="T311">
            <v>0</v>
          </cell>
          <cell r="U311">
            <v>5.7886925051334694</v>
          </cell>
          <cell r="V311">
            <v>1.022004794407716</v>
          </cell>
          <cell r="W311" t="str">
            <v>ความเสี่ยงต่ำ</v>
          </cell>
        </row>
        <row r="312">
          <cell r="A312">
            <v>550166</v>
          </cell>
          <cell r="B312" t="str">
            <v>นาย</v>
          </cell>
          <cell r="C312" t="str">
            <v>วิชิต</v>
          </cell>
          <cell r="D312" t="str">
            <v>บูรณะตันติกุล</v>
          </cell>
          <cell r="E312" t="str">
            <v>บฟ.วบก.</v>
          </cell>
          <cell r="F312" t="str">
            <v>Maintenance</v>
          </cell>
          <cell r="G312">
            <v>40.971937029431899</v>
          </cell>
          <cell r="H312" t="str">
            <v>Male</v>
          </cell>
          <cell r="I312" t="str">
            <v>ไม่สูบ</v>
          </cell>
          <cell r="J312">
            <v>113</v>
          </cell>
          <cell r="K312">
            <v>180.5</v>
          </cell>
          <cell r="L312">
            <v>61.3</v>
          </cell>
          <cell r="M312">
            <v>18.8150796878477</v>
          </cell>
          <cell r="N312">
            <v>74</v>
          </cell>
          <cell r="O312" t="str">
            <v>ไม่มี</v>
          </cell>
          <cell r="P312">
            <v>87</v>
          </cell>
          <cell r="Q312">
            <v>249</v>
          </cell>
          <cell r="R312">
            <v>1</v>
          </cell>
          <cell r="S312">
            <v>0</v>
          </cell>
          <cell r="T312">
            <v>0</v>
          </cell>
          <cell r="U312">
            <v>6.6305236071184117</v>
          </cell>
          <cell r="V312">
            <v>2.3556895441115056</v>
          </cell>
          <cell r="W312" t="str">
            <v>ความเสี่ยงต่ำ</v>
          </cell>
        </row>
        <row r="313">
          <cell r="A313">
            <v>670030</v>
          </cell>
          <cell r="B313" t="str">
            <v>นาย</v>
          </cell>
          <cell r="C313" t="str">
            <v>ภูมิภัทร์</v>
          </cell>
          <cell r="D313" t="str">
            <v>พุกกะวรรณะ</v>
          </cell>
          <cell r="E313" t="str">
            <v>ปภ.ผยก.</v>
          </cell>
          <cell r="F313" t="str">
            <v>Support</v>
          </cell>
          <cell r="G313">
            <v>28.443531827515397</v>
          </cell>
          <cell r="H313" t="str">
            <v>Male</v>
          </cell>
          <cell r="I313" t="str">
            <v>ไม่สูบ</v>
          </cell>
          <cell r="J313">
            <v>125</v>
          </cell>
          <cell r="K313">
            <v>173</v>
          </cell>
          <cell r="L313">
            <v>70.599999999999994</v>
          </cell>
          <cell r="M313">
            <v>23.589161014400752</v>
          </cell>
          <cell r="N313">
            <v>80</v>
          </cell>
          <cell r="O313" t="str">
            <v>ไม่มี</v>
          </cell>
          <cell r="P313">
            <v>84</v>
          </cell>
          <cell r="Q313">
            <v>209</v>
          </cell>
          <cell r="R313">
            <v>1</v>
          </cell>
          <cell r="S313">
            <v>0</v>
          </cell>
          <cell r="T313">
            <v>0</v>
          </cell>
          <cell r="U313">
            <v>5.7706042094455849</v>
          </cell>
          <cell r="V313">
            <v>1.0037769176775568</v>
          </cell>
          <cell r="W313" t="str">
            <v>ความเสี่ยงต่ำ</v>
          </cell>
        </row>
        <row r="314">
          <cell r="A314">
            <v>640053</v>
          </cell>
          <cell r="B314" t="str">
            <v>นาย</v>
          </cell>
          <cell r="C314" t="str">
            <v>ปิยะมินทร์</v>
          </cell>
          <cell r="D314" t="str">
            <v>เทียมทรัพย์</v>
          </cell>
          <cell r="E314" t="str">
            <v>ผ.ปก.B คธ.</v>
          </cell>
          <cell r="F314" t="str">
            <v>Operation</v>
          </cell>
          <cell r="G314">
            <v>27.43326488706365</v>
          </cell>
          <cell r="H314" t="str">
            <v>Male</v>
          </cell>
          <cell r="I314" t="str">
            <v>ไม่สูบ</v>
          </cell>
          <cell r="J314">
            <v>127</v>
          </cell>
          <cell r="K314">
            <v>157</v>
          </cell>
          <cell r="L314">
            <v>78.599999999999994</v>
          </cell>
          <cell r="M314">
            <v>31.887703355105685</v>
          </cell>
          <cell r="N314">
            <v>93</v>
          </cell>
          <cell r="O314" t="str">
            <v>ไม่มี</v>
          </cell>
          <cell r="P314">
            <v>88</v>
          </cell>
          <cell r="Q314">
            <v>207</v>
          </cell>
          <cell r="R314">
            <v>1</v>
          </cell>
          <cell r="S314">
            <v>0</v>
          </cell>
          <cell r="T314">
            <v>0</v>
          </cell>
          <cell r="U314">
            <v>5.7253740657084178</v>
          </cell>
          <cell r="V314">
            <v>0.95960106481806084</v>
          </cell>
          <cell r="W314" t="str">
            <v>ความเสี่ยงต่ำ</v>
          </cell>
        </row>
        <row r="315">
          <cell r="A315">
            <v>540208</v>
          </cell>
          <cell r="B315" t="str">
            <v>นาย</v>
          </cell>
          <cell r="C315" t="str">
            <v>กฤษรา</v>
          </cell>
          <cell r="D315" t="str">
            <v>คงนวล</v>
          </cell>
          <cell r="E315" t="str">
            <v>ผ.จด.พย.</v>
          </cell>
          <cell r="F315" t="str">
            <v>Support</v>
          </cell>
          <cell r="G315">
            <v>40.777549623545511</v>
          </cell>
          <cell r="H315" t="str">
            <v>Male</v>
          </cell>
          <cell r="I315" t="str">
            <v>ไม่สูบ</v>
          </cell>
          <cell r="J315">
            <v>147</v>
          </cell>
          <cell r="K315">
            <v>175</v>
          </cell>
          <cell r="L315">
            <v>106.8</v>
          </cell>
          <cell r="M315">
            <v>34.873469387755101</v>
          </cell>
          <cell r="N315">
            <v>112</v>
          </cell>
          <cell r="O315" t="str">
            <v>โรคกระเพาะอาหาร</v>
          </cell>
          <cell r="P315">
            <v>106</v>
          </cell>
          <cell r="Q315">
            <v>258</v>
          </cell>
          <cell r="R315">
            <v>1</v>
          </cell>
          <cell r="S315">
            <v>0</v>
          </cell>
          <cell r="T315">
            <v>0</v>
          </cell>
          <cell r="U315">
            <v>7.342256885694729</v>
          </cell>
          <cell r="V315">
            <v>4.741126537685969</v>
          </cell>
          <cell r="W315" t="str">
            <v>ความเสี่ยงต่ำ</v>
          </cell>
        </row>
        <row r="316">
          <cell r="A316">
            <v>500187</v>
          </cell>
          <cell r="B316" t="str">
            <v>นาย</v>
          </cell>
          <cell r="C316" t="str">
            <v>ปรีดา</v>
          </cell>
          <cell r="D316" t="str">
            <v>หาโคตร</v>
          </cell>
          <cell r="E316" t="str">
            <v>คผ.A ปผ.</v>
          </cell>
          <cell r="F316" t="str">
            <v>Operation</v>
          </cell>
          <cell r="G316">
            <v>41.210130047912386</v>
          </cell>
          <cell r="H316" t="str">
            <v>Male</v>
          </cell>
          <cell r="I316" t="str">
            <v>ไม่สูบ</v>
          </cell>
          <cell r="J316">
            <v>124</v>
          </cell>
          <cell r="K316">
            <v>164.5</v>
          </cell>
          <cell r="L316">
            <v>61.5</v>
          </cell>
          <cell r="M316">
            <v>22.727062758104601</v>
          </cell>
          <cell r="N316">
            <v>81</v>
          </cell>
          <cell r="O316" t="str">
            <v>ไม่มี</v>
          </cell>
          <cell r="P316">
            <v>92</v>
          </cell>
          <cell r="Q316">
            <v>168</v>
          </cell>
          <cell r="R316">
            <v>1</v>
          </cell>
          <cell r="S316">
            <v>0</v>
          </cell>
          <cell r="T316">
            <v>0</v>
          </cell>
          <cell r="U316">
            <v>6.7075349418206711</v>
          </cell>
          <cell r="V316">
            <v>2.541856102008111</v>
          </cell>
          <cell r="W316" t="str">
            <v>ความเสี่ยงต่ำ</v>
          </cell>
        </row>
        <row r="317">
          <cell r="A317">
            <v>650078</v>
          </cell>
          <cell r="B317" t="str">
            <v>นาย</v>
          </cell>
          <cell r="C317" t="str">
            <v>วรเมธ</v>
          </cell>
          <cell r="D317" t="str">
            <v>ประกอบสุข</v>
          </cell>
          <cell r="E317" t="str">
            <v>บค.วบก.</v>
          </cell>
          <cell r="F317" t="str">
            <v>Maintenance</v>
          </cell>
          <cell r="G317">
            <v>25.905544147843933</v>
          </cell>
          <cell r="H317" t="str">
            <v>Male</v>
          </cell>
          <cell r="I317" t="str">
            <v>ไม่สูบ</v>
          </cell>
          <cell r="J317">
            <v>119</v>
          </cell>
          <cell r="K317">
            <v>180</v>
          </cell>
          <cell r="L317">
            <v>79.5</v>
          </cell>
          <cell r="M317">
            <v>24.537037037037038</v>
          </cell>
          <cell r="N317">
            <v>89</v>
          </cell>
          <cell r="O317" t="str">
            <v>ไม่มี</v>
          </cell>
          <cell r="P317">
            <v>87</v>
          </cell>
          <cell r="Q317">
            <v>227</v>
          </cell>
          <cell r="R317">
            <v>1</v>
          </cell>
          <cell r="S317">
            <v>0</v>
          </cell>
          <cell r="T317">
            <v>0</v>
          </cell>
          <cell r="U317">
            <v>5.4760406776180695</v>
          </cell>
          <cell r="V317">
            <v>0.74863134614762128</v>
          </cell>
          <cell r="W317" t="str">
            <v>ความเสี่ยงต่ำ</v>
          </cell>
        </row>
        <row r="318">
          <cell r="A318">
            <v>480212</v>
          </cell>
          <cell r="B318" t="str">
            <v>นาย</v>
          </cell>
          <cell r="C318" t="str">
            <v>ปรมินทร์</v>
          </cell>
          <cell r="D318" t="str">
            <v>พรมมาแข้</v>
          </cell>
          <cell r="E318" t="str">
            <v>คผ.B ปผ.</v>
          </cell>
          <cell r="F318" t="str">
            <v>Operation</v>
          </cell>
          <cell r="G318">
            <v>41.727583846680339</v>
          </cell>
          <cell r="H318" t="str">
            <v>Male</v>
          </cell>
          <cell r="I318" t="str">
            <v>สูบ 20 มวนต่อวัน</v>
          </cell>
          <cell r="J318">
            <v>118</v>
          </cell>
          <cell r="K318">
            <v>174</v>
          </cell>
          <cell r="L318">
            <v>79.7</v>
          </cell>
          <cell r="M318">
            <v>26.324481437442195</v>
          </cell>
          <cell r="N318">
            <v>91</v>
          </cell>
          <cell r="O318" t="str">
            <v>ไม่มี</v>
          </cell>
          <cell r="P318">
            <v>83</v>
          </cell>
          <cell r="Q318">
            <v>222</v>
          </cell>
          <cell r="R318">
            <v>1</v>
          </cell>
          <cell r="S318">
            <v>1</v>
          </cell>
          <cell r="T318">
            <v>0</v>
          </cell>
          <cell r="U318">
            <v>7.1584781861738529</v>
          </cell>
          <cell r="V318">
            <v>3.9611840241505436</v>
          </cell>
          <cell r="W318" t="str">
            <v>ความเสี่ยงต่ำ</v>
          </cell>
        </row>
        <row r="319">
          <cell r="A319">
            <v>390097</v>
          </cell>
          <cell r="B319" t="str">
            <v>นาย</v>
          </cell>
          <cell r="C319" t="str">
            <v>พัฒนศักดิ์</v>
          </cell>
          <cell r="D319" t="str">
            <v>วุฒิทวี</v>
          </cell>
          <cell r="E319" t="str">
            <v>บผ.สยก.</v>
          </cell>
          <cell r="F319" t="str">
            <v>Operation</v>
          </cell>
          <cell r="G319">
            <v>50.748802190280621</v>
          </cell>
          <cell r="H319" t="str">
            <v>Male</v>
          </cell>
          <cell r="I319" t="str">
            <v>ไม่สูบ</v>
          </cell>
          <cell r="J319">
            <v>130</v>
          </cell>
          <cell r="K319">
            <v>176</v>
          </cell>
          <cell r="L319">
            <v>90.3</v>
          </cell>
          <cell r="M319">
            <v>29.151601239669418</v>
          </cell>
          <cell r="N319">
            <v>90</v>
          </cell>
          <cell r="O319" t="str">
            <v>ไม่มี</v>
          </cell>
          <cell r="P319">
            <v>83</v>
          </cell>
          <cell r="Q319">
            <v>195</v>
          </cell>
          <cell r="R319">
            <v>1</v>
          </cell>
          <cell r="S319">
            <v>0</v>
          </cell>
          <cell r="T319">
            <v>0</v>
          </cell>
          <cell r="U319">
            <v>7.6703644832306637</v>
          </cell>
          <cell r="V319">
            <v>6.5210952882813196</v>
          </cell>
          <cell r="W319" t="str">
            <v>ความเสี่ยงต่ำ</v>
          </cell>
        </row>
        <row r="320">
          <cell r="A320">
            <v>550191</v>
          </cell>
          <cell r="B320" t="str">
            <v>นาย</v>
          </cell>
          <cell r="C320" t="str">
            <v>ณัฐชา</v>
          </cell>
          <cell r="D320" t="str">
            <v>หรณพ</v>
          </cell>
          <cell r="E320" t="str">
            <v>บค.วบก.</v>
          </cell>
          <cell r="F320" t="str">
            <v>Maintenance</v>
          </cell>
          <cell r="G320">
            <v>33.481177275838462</v>
          </cell>
          <cell r="H320" t="str">
            <v>Male</v>
          </cell>
          <cell r="I320" t="str">
            <v>ไม่สูบ</v>
          </cell>
          <cell r="J320">
            <v>145</v>
          </cell>
          <cell r="K320">
            <v>168.5</v>
          </cell>
          <cell r="L320">
            <v>85.6</v>
          </cell>
          <cell r="M320">
            <v>30.149072370100995</v>
          </cell>
          <cell r="N320">
            <v>98</v>
          </cell>
          <cell r="O320" t="str">
            <v>ไม่มี</v>
          </cell>
          <cell r="P320">
            <v>94</v>
          </cell>
          <cell r="Q320">
            <v>262</v>
          </cell>
          <cell r="R320">
            <v>1</v>
          </cell>
          <cell r="S320">
            <v>0</v>
          </cell>
          <cell r="T320">
            <v>0</v>
          </cell>
          <cell r="U320">
            <v>6.711994736481862</v>
          </cell>
          <cell r="V320">
            <v>2.5530712936350231</v>
          </cell>
          <cell r="W320" t="str">
            <v>ความเสี่ยงต่ำ</v>
          </cell>
        </row>
        <row r="321">
          <cell r="A321">
            <v>650080</v>
          </cell>
          <cell r="B321" t="str">
            <v>นางสาว</v>
          </cell>
          <cell r="C321" t="str">
            <v>ณัฐชา</v>
          </cell>
          <cell r="D321" t="str">
            <v>สังข์แป้น</v>
          </cell>
          <cell r="E321" t="str">
            <v>รส.บรก.</v>
          </cell>
          <cell r="F321" t="str">
            <v>Support</v>
          </cell>
          <cell r="G321">
            <v>31.383983572895271</v>
          </cell>
          <cell r="H321" t="str">
            <v>Female</v>
          </cell>
          <cell r="I321" t="str">
            <v>ไม่สูบ</v>
          </cell>
          <cell r="J321">
            <v>113</v>
          </cell>
          <cell r="K321">
            <v>168</v>
          </cell>
          <cell r="L321">
            <v>56.6</v>
          </cell>
          <cell r="M321">
            <v>20.053854875283449</v>
          </cell>
          <cell r="N321">
            <v>71</v>
          </cell>
          <cell r="O321" t="str">
            <v>ไม่มี</v>
          </cell>
          <cell r="P321">
            <v>79</v>
          </cell>
          <cell r="Q321">
            <v>252</v>
          </cell>
          <cell r="R321">
            <v>0</v>
          </cell>
          <cell r="S321">
            <v>0</v>
          </cell>
          <cell r="T321">
            <v>0</v>
          </cell>
          <cell r="U321">
            <v>5.4573113757700193</v>
          </cell>
          <cell r="V321">
            <v>0.73479165380594402</v>
          </cell>
          <cell r="W321" t="str">
            <v>ความเสี่ยงต่ำ</v>
          </cell>
        </row>
        <row r="322">
          <cell r="A322">
            <v>670069</v>
          </cell>
          <cell r="B322" t="str">
            <v>นาย</v>
          </cell>
          <cell r="C322" t="str">
            <v>กชภณ</v>
          </cell>
          <cell r="D322" t="str">
            <v>ทองโชติ</v>
          </cell>
          <cell r="E322" t="str">
            <v>บฟ.วบก.</v>
          </cell>
          <cell r="F322" t="str">
            <v>Maintenance</v>
          </cell>
          <cell r="G322">
            <v>22.710472279260774</v>
          </cell>
          <cell r="H322" t="str">
            <v>Male</v>
          </cell>
          <cell r="I322" t="str">
            <v>ไม่สูบ</v>
          </cell>
          <cell r="J322">
            <v>108</v>
          </cell>
          <cell r="K322">
            <v>168.5</v>
          </cell>
          <cell r="L322">
            <v>56.2</v>
          </cell>
          <cell r="M322">
            <v>19.794133962613035</v>
          </cell>
          <cell r="N322">
            <v>71</v>
          </cell>
          <cell r="O322" t="str">
            <v>ไม่มี</v>
          </cell>
          <cell r="P322">
            <v>83</v>
          </cell>
          <cell r="Q322">
            <v>208</v>
          </cell>
          <cell r="R322">
            <v>1</v>
          </cell>
          <cell r="S322">
            <v>0</v>
          </cell>
          <cell r="T322">
            <v>0</v>
          </cell>
          <cell r="U322">
            <v>4.9450679466119096</v>
          </cell>
          <cell r="V322">
            <v>0.44090095425648457</v>
          </cell>
          <cell r="W322" t="str">
            <v>ความเสี่ยงต่ำ</v>
          </cell>
        </row>
        <row r="323">
          <cell r="A323">
            <v>500186</v>
          </cell>
          <cell r="B323" t="str">
            <v>นาย</v>
          </cell>
          <cell r="C323" t="str">
            <v>นพดล</v>
          </cell>
          <cell r="D323" t="str">
            <v>ตรีนพเทวินทร์</v>
          </cell>
          <cell r="E323" t="str">
            <v>ผ.ปก.B ปอ.</v>
          </cell>
          <cell r="F323" t="str">
            <v>Operation</v>
          </cell>
          <cell r="G323">
            <v>41.174537987679663</v>
          </cell>
          <cell r="H323" t="str">
            <v>Male</v>
          </cell>
          <cell r="I323" t="str">
            <v>ไม่สูบ</v>
          </cell>
          <cell r="J323">
            <v>109</v>
          </cell>
          <cell r="K323">
            <v>173</v>
          </cell>
          <cell r="L323">
            <v>68.900000000000006</v>
          </cell>
          <cell r="M323">
            <v>23.021150055130477</v>
          </cell>
          <cell r="N323">
            <v>73</v>
          </cell>
          <cell r="O323" t="str">
            <v>โรคความดันโลหิตสูง</v>
          </cell>
          <cell r="P323">
            <v>85</v>
          </cell>
          <cell r="Q323">
            <v>222</v>
          </cell>
          <cell r="R323">
            <v>1</v>
          </cell>
          <cell r="S323">
            <v>0</v>
          </cell>
          <cell r="T323">
            <v>0</v>
          </cell>
          <cell r="U323">
            <v>6.5065024435318266</v>
          </cell>
          <cell r="V323">
            <v>2.0838088237099761</v>
          </cell>
          <cell r="W323" t="str">
            <v>ความเสี่ยงต่ำ</v>
          </cell>
        </row>
        <row r="324">
          <cell r="A324">
            <v>540262</v>
          </cell>
          <cell r="B324" t="str">
            <v>นาย</v>
          </cell>
          <cell r="C324" t="str">
            <v>ณัฐพงษ์</v>
          </cell>
          <cell r="D324" t="str">
            <v>กมลสุทธิไพจิตร</v>
          </cell>
          <cell r="E324" t="str">
            <v>วก.วบก.</v>
          </cell>
          <cell r="F324" t="str">
            <v>Maintenance</v>
          </cell>
          <cell r="G324">
            <v>39.060917180013675</v>
          </cell>
          <cell r="H324" t="str">
            <v>Male</v>
          </cell>
          <cell r="I324" t="str">
            <v>ไม่สูบ</v>
          </cell>
          <cell r="J324">
            <v>139</v>
          </cell>
          <cell r="K324">
            <v>167</v>
          </cell>
          <cell r="L324">
            <v>59.6</v>
          </cell>
          <cell r="M324">
            <v>21.370432787120368</v>
          </cell>
          <cell r="N324">
            <v>83</v>
          </cell>
          <cell r="O324" t="str">
            <v>ไม่มี</v>
          </cell>
          <cell r="P324">
            <v>93</v>
          </cell>
          <cell r="Q324">
            <v>150</v>
          </cell>
          <cell r="R324">
            <v>1</v>
          </cell>
          <cell r="S324">
            <v>0</v>
          </cell>
          <cell r="T324">
            <v>0</v>
          </cell>
          <cell r="U324">
            <v>6.8061048528405186</v>
          </cell>
          <cell r="V324">
            <v>2.8014493189187806</v>
          </cell>
          <cell r="W324" t="str">
            <v>ความเสี่ยงต่ำ</v>
          </cell>
        </row>
        <row r="325">
          <cell r="A325">
            <v>490196</v>
          </cell>
          <cell r="B325" t="str">
            <v>นาย</v>
          </cell>
          <cell r="C325" t="str">
            <v>โอมฤทธิ์</v>
          </cell>
          <cell r="D325" t="str">
            <v>หาระบุตร</v>
          </cell>
          <cell r="E325" t="str">
            <v>ยรก.</v>
          </cell>
          <cell r="F325" t="str">
            <v>Operation</v>
          </cell>
          <cell r="G325">
            <v>45.735797399041751</v>
          </cell>
          <cell r="H325" t="str">
            <v>Male</v>
          </cell>
          <cell r="I325" t="str">
            <v>ไม่สูบ</v>
          </cell>
          <cell r="J325">
            <v>128</v>
          </cell>
          <cell r="K325">
            <v>173</v>
          </cell>
          <cell r="L325">
            <v>64.599999999999994</v>
          </cell>
          <cell r="M325">
            <v>21.584416452270371</v>
          </cell>
          <cell r="N325">
            <v>79</v>
          </cell>
          <cell r="O325" t="str">
            <v>โรคภูมิแพ้อากาศ</v>
          </cell>
          <cell r="P325">
            <v>85</v>
          </cell>
          <cell r="Q325">
            <v>207</v>
          </cell>
          <cell r="R325">
            <v>1</v>
          </cell>
          <cell r="S325">
            <v>0</v>
          </cell>
          <cell r="T325">
            <v>0</v>
          </cell>
          <cell r="U325">
            <v>7.243910301163587</v>
          </cell>
          <cell r="V325">
            <v>4.306757896385327</v>
          </cell>
          <cell r="W325" t="str">
            <v>ความเสี่ยงต่ำ</v>
          </cell>
        </row>
        <row r="326">
          <cell r="A326">
            <v>650081</v>
          </cell>
          <cell r="B326" t="str">
            <v>นางสาว</v>
          </cell>
          <cell r="C326" t="str">
            <v>ณัชชา</v>
          </cell>
          <cell r="D326" t="str">
            <v>สุทธิพงษ์</v>
          </cell>
          <cell r="E326" t="str">
            <v>บร.บรก.</v>
          </cell>
          <cell r="F326" t="str">
            <v>Support</v>
          </cell>
          <cell r="G326">
            <v>26.844626967830248</v>
          </cell>
          <cell r="H326" t="str">
            <v>Female</v>
          </cell>
          <cell r="I326" t="str">
            <v>ไม่สูบ</v>
          </cell>
          <cell r="J326">
            <v>110</v>
          </cell>
          <cell r="K326">
            <v>163</v>
          </cell>
          <cell r="L326">
            <v>64.8</v>
          </cell>
          <cell r="M326">
            <v>24.389325906131205</v>
          </cell>
          <cell r="N326">
            <v>86</v>
          </cell>
          <cell r="O326" t="str">
            <v>ไม่มี</v>
          </cell>
          <cell r="P326">
            <v>88</v>
          </cell>
          <cell r="Q326">
            <v>242</v>
          </cell>
          <cell r="R326">
            <v>0</v>
          </cell>
          <cell r="S326">
            <v>0</v>
          </cell>
          <cell r="T326">
            <v>0</v>
          </cell>
          <cell r="U326">
            <v>5.0021358247775494</v>
          </cell>
          <cell r="V326">
            <v>0.46673352360638853</v>
          </cell>
          <cell r="W326" t="str">
            <v>ความเสี่ยงต่ำ</v>
          </cell>
        </row>
        <row r="327">
          <cell r="A327">
            <v>490047</v>
          </cell>
          <cell r="B327" t="str">
            <v>นาย</v>
          </cell>
          <cell r="C327" t="str">
            <v>พลัฏฐ์</v>
          </cell>
          <cell r="D327" t="str">
            <v>สินศิวพร</v>
          </cell>
          <cell r="E327" t="str">
            <v>คผ.A ปผ.</v>
          </cell>
          <cell r="F327" t="str">
            <v>Operation</v>
          </cell>
          <cell r="G327">
            <v>45.36618754277891</v>
          </cell>
          <cell r="H327" t="str">
            <v>Male</v>
          </cell>
          <cell r="I327" t="str">
            <v>ไม่สูบ</v>
          </cell>
          <cell r="J327">
            <v>133</v>
          </cell>
          <cell r="K327">
            <v>159</v>
          </cell>
          <cell r="L327">
            <v>69.900000000000006</v>
          </cell>
          <cell r="M327">
            <v>27.649222736442386</v>
          </cell>
          <cell r="N327">
            <v>89</v>
          </cell>
          <cell r="O327" t="str">
            <v>ไม่มี</v>
          </cell>
          <cell r="P327">
            <v>228</v>
          </cell>
          <cell r="Q327">
            <v>269</v>
          </cell>
          <cell r="R327">
            <v>1</v>
          </cell>
          <cell r="S327">
            <v>0</v>
          </cell>
          <cell r="T327">
            <v>0</v>
          </cell>
          <cell r="U327">
            <v>7.4493051266255987</v>
          </cell>
          <cell r="V327">
            <v>5.2624803031973695</v>
          </cell>
          <cell r="W327" t="str">
            <v>ความเสี่ยงต่ำ</v>
          </cell>
        </row>
        <row r="328">
          <cell r="A328">
            <v>580086</v>
          </cell>
          <cell r="B328" t="str">
            <v>นาง</v>
          </cell>
          <cell r="C328" t="str">
            <v>ภัทราธร</v>
          </cell>
          <cell r="D328" t="str">
            <v>เอี่ยมปิยะ</v>
          </cell>
          <cell r="E328" t="str">
            <v>ผ.บพ.พย.</v>
          </cell>
          <cell r="F328" t="str">
            <v>Support</v>
          </cell>
          <cell r="G328">
            <v>39.452429842573537</v>
          </cell>
          <cell r="H328" t="str">
            <v>Female</v>
          </cell>
          <cell r="I328" t="str">
            <v>ไม่สูบ</v>
          </cell>
          <cell r="J328">
            <v>135</v>
          </cell>
          <cell r="K328">
            <v>163.5</v>
          </cell>
          <cell r="L328">
            <v>52</v>
          </cell>
          <cell r="M328">
            <v>19.45215984438272</v>
          </cell>
          <cell r="N328">
            <v>68</v>
          </cell>
          <cell r="O328" t="str">
            <v>ไม่มี</v>
          </cell>
          <cell r="P328">
            <v>89</v>
          </cell>
          <cell r="Q328">
            <v>207</v>
          </cell>
          <cell r="R328">
            <v>0</v>
          </cell>
          <cell r="S328">
            <v>0</v>
          </cell>
          <cell r="T328">
            <v>0</v>
          </cell>
          <cell r="U328">
            <v>6.480632334017792</v>
          </cell>
          <cell r="V328">
            <v>2.031135994708122</v>
          </cell>
          <cell r="W328" t="str">
            <v>ความเสี่ยงต่ำ</v>
          </cell>
        </row>
        <row r="329">
          <cell r="A329">
            <v>490032</v>
          </cell>
          <cell r="B329" t="str">
            <v>นาย</v>
          </cell>
          <cell r="C329" t="str">
            <v>ธีระวัฒน์</v>
          </cell>
          <cell r="D329" t="str">
            <v>ตุ่มแก้ว</v>
          </cell>
          <cell r="E329" t="str">
            <v>คผ.D ปต.</v>
          </cell>
          <cell r="F329" t="str">
            <v>Operation</v>
          </cell>
          <cell r="G329">
            <v>40.142368240930828</v>
          </cell>
          <cell r="H329" t="str">
            <v>Male</v>
          </cell>
          <cell r="I329" t="str">
            <v>ไม่สูบ</v>
          </cell>
          <cell r="J329">
            <v>121</v>
          </cell>
          <cell r="K329">
            <v>178.5</v>
          </cell>
          <cell r="L329">
            <v>107.2</v>
          </cell>
          <cell r="M329">
            <v>33.64483048121209</v>
          </cell>
          <cell r="N329">
            <v>116</v>
          </cell>
          <cell r="O329" t="str">
            <v>โรคสะเก็ดเงิน</v>
          </cell>
          <cell r="P329">
            <v>240</v>
          </cell>
          <cell r="Q329">
            <v>198</v>
          </cell>
          <cell r="R329">
            <v>1</v>
          </cell>
          <cell r="S329">
            <v>0</v>
          </cell>
          <cell r="T329">
            <v>0</v>
          </cell>
          <cell r="U329">
            <v>6.6212399931553705</v>
          </cell>
          <cell r="V329">
            <v>2.3341774940872084</v>
          </cell>
          <cell r="W329" t="str">
            <v>ความเสี่ยงต่ำ</v>
          </cell>
        </row>
        <row r="330">
          <cell r="A330">
            <v>360092</v>
          </cell>
          <cell r="B330" t="str">
            <v>นาย</v>
          </cell>
          <cell r="C330" t="str">
            <v>ปัญญา</v>
          </cell>
          <cell r="D330" t="str">
            <v>รินรักษา</v>
          </cell>
          <cell r="E330" t="str">
            <v>คผ.B ปต.</v>
          </cell>
          <cell r="F330" t="str">
            <v>Operation</v>
          </cell>
          <cell r="G330">
            <v>52.391512662559883</v>
          </cell>
          <cell r="H330" t="str">
            <v>Male</v>
          </cell>
          <cell r="I330" t="str">
            <v>ไม่สูบ</v>
          </cell>
          <cell r="J330">
            <v>145</v>
          </cell>
          <cell r="K330">
            <v>174.5</v>
          </cell>
          <cell r="L330">
            <v>93.8</v>
          </cell>
          <cell r="M330">
            <v>30.80434479191468</v>
          </cell>
          <cell r="N330">
            <v>106</v>
          </cell>
          <cell r="O330" t="str">
            <v>ไขมันในเลือดสูง , โรคความดันโลหิตสูง , โรคภูมิแพ้</v>
          </cell>
          <cell r="P330">
            <v>92</v>
          </cell>
          <cell r="Q330">
            <v>163</v>
          </cell>
          <cell r="R330">
            <v>1</v>
          </cell>
          <cell r="S330">
            <v>0</v>
          </cell>
          <cell r="T330">
            <v>0</v>
          </cell>
          <cell r="U330">
            <v>8.0495474811772763</v>
          </cell>
          <cell r="V330">
            <v>9.3829448277557468</v>
          </cell>
          <cell r="W330" t="str">
            <v>ความเสี่ยงต่ำ</v>
          </cell>
        </row>
        <row r="331">
          <cell r="A331">
            <v>520133</v>
          </cell>
          <cell r="B331" t="str">
            <v>นาย</v>
          </cell>
          <cell r="C331" t="str">
            <v>พิชิต</v>
          </cell>
          <cell r="D331" t="str">
            <v>เจริญเอกลาภ</v>
          </cell>
          <cell r="E331" t="str">
            <v>ผ.ปก.C ปอ.</v>
          </cell>
          <cell r="F331" t="str">
            <v>Operation</v>
          </cell>
          <cell r="G331">
            <v>38.513347022587247</v>
          </cell>
          <cell r="H331" t="str">
            <v>Male</v>
          </cell>
          <cell r="I331" t="str">
            <v>ไม่สูบ</v>
          </cell>
          <cell r="J331">
            <v>122</v>
          </cell>
          <cell r="K331">
            <v>170.5</v>
          </cell>
          <cell r="L331">
            <v>75.3</v>
          </cell>
          <cell r="M331">
            <v>25.902770014017765</v>
          </cell>
          <cell r="N331">
            <v>88</v>
          </cell>
          <cell r="O331" t="str">
            <v>ไม่มี</v>
          </cell>
          <cell r="P331">
            <v>92</v>
          </cell>
          <cell r="Q331">
            <v>218</v>
          </cell>
          <cell r="R331">
            <v>1</v>
          </cell>
          <cell r="S331">
            <v>0</v>
          </cell>
          <cell r="T331">
            <v>0</v>
          </cell>
          <cell r="U331">
            <v>6.5511771868583146</v>
          </cell>
          <cell r="V331">
            <v>2.1779690256163775</v>
          </cell>
          <cell r="W331" t="str">
            <v>ความเสี่ยงต่ำ</v>
          </cell>
        </row>
        <row r="332">
          <cell r="A332">
            <v>610183</v>
          </cell>
          <cell r="B332" t="str">
            <v>นางสาว</v>
          </cell>
          <cell r="C332" t="str">
            <v>จิรัชฐวี</v>
          </cell>
          <cell r="D332" t="str">
            <v>เวชวิทย์วรากุล</v>
          </cell>
          <cell r="E332" t="str">
            <v>ผบ.วบก.</v>
          </cell>
          <cell r="F332" t="str">
            <v>Maintenance</v>
          </cell>
          <cell r="G332">
            <v>34.184804928131413</v>
          </cell>
          <cell r="H332" t="str">
            <v>Female</v>
          </cell>
          <cell r="I332" t="str">
            <v>ไม่สูบ</v>
          </cell>
          <cell r="J332">
            <v>99</v>
          </cell>
          <cell r="K332">
            <v>156</v>
          </cell>
          <cell r="L332">
            <v>73</v>
          </cell>
          <cell r="M332">
            <v>29.996712689020381</v>
          </cell>
          <cell r="N332">
            <v>86</v>
          </cell>
          <cell r="O332" t="str">
            <v>ไม่มี</v>
          </cell>
          <cell r="P332">
            <v>78</v>
          </cell>
          <cell r="Q332">
            <v>205</v>
          </cell>
          <cell r="R332">
            <v>0</v>
          </cell>
          <cell r="S332">
            <v>0</v>
          </cell>
          <cell r="T332">
            <v>0</v>
          </cell>
          <cell r="U332">
            <v>5.2951025872689925</v>
          </cell>
          <cell r="V332">
            <v>0.62511131294461508</v>
          </cell>
          <cell r="W332" t="str">
            <v>ความเสี่ยงต่ำ</v>
          </cell>
        </row>
        <row r="333">
          <cell r="A333">
            <v>350065</v>
          </cell>
          <cell r="B333" t="str">
            <v>นาง</v>
          </cell>
          <cell r="C333" t="str">
            <v>ดารา</v>
          </cell>
          <cell r="D333" t="str">
            <v>ธนกุลบดี</v>
          </cell>
          <cell r="E333" t="str">
            <v>คพ.ทผก.</v>
          </cell>
          <cell r="F333" t="str">
            <v>Support</v>
          </cell>
          <cell r="G333">
            <v>53.349760438056123</v>
          </cell>
          <cell r="H333" t="str">
            <v>Female</v>
          </cell>
          <cell r="I333" t="str">
            <v>ไม่สูบ</v>
          </cell>
          <cell r="J333">
            <v>136</v>
          </cell>
          <cell r="K333">
            <v>160.5</v>
          </cell>
          <cell r="L333">
            <v>69.900000000000006</v>
          </cell>
          <cell r="M333">
            <v>27.134829825021107</v>
          </cell>
          <cell r="N333">
            <v>86</v>
          </cell>
          <cell r="O333" t="str">
            <v>ไม่มี</v>
          </cell>
          <cell r="P333">
            <v>95</v>
          </cell>
          <cell r="Q333">
            <v>243</v>
          </cell>
          <cell r="R333">
            <v>0</v>
          </cell>
          <cell r="S333">
            <v>0</v>
          </cell>
          <cell r="T333">
            <v>0</v>
          </cell>
          <cell r="U333">
            <v>7.7150108966461328</v>
          </cell>
          <cell r="V333">
            <v>6.8084670908354568</v>
          </cell>
          <cell r="W333" t="str">
            <v>ความเสี่ยงต่ำ</v>
          </cell>
        </row>
        <row r="334">
          <cell r="A334">
            <v>550213</v>
          </cell>
          <cell r="B334" t="str">
            <v>นาย</v>
          </cell>
          <cell r="C334" t="str">
            <v>สุภมาณพ</v>
          </cell>
          <cell r="D334" t="str">
            <v>จันดีวงษ์</v>
          </cell>
          <cell r="E334" t="str">
            <v>คผ.B ปล.</v>
          </cell>
          <cell r="F334" t="str">
            <v>Operation</v>
          </cell>
          <cell r="G334">
            <v>33.902806297056806</v>
          </cell>
          <cell r="H334" t="str">
            <v>Male</v>
          </cell>
          <cell r="I334" t="str">
            <v>ไม่สูบ</v>
          </cell>
          <cell r="J334">
            <v>129</v>
          </cell>
          <cell r="K334">
            <v>175.5</v>
          </cell>
          <cell r="L334">
            <v>67.7</v>
          </cell>
          <cell r="M334">
            <v>21.980341068660156</v>
          </cell>
          <cell r="N334">
            <v>87</v>
          </cell>
          <cell r="O334" t="str">
            <v>โรคภูมิแพ้</v>
          </cell>
          <cell r="P334">
            <v>84</v>
          </cell>
          <cell r="Q334">
            <v>277</v>
          </cell>
          <cell r="R334">
            <v>1</v>
          </cell>
          <cell r="S334">
            <v>0</v>
          </cell>
          <cell r="T334">
            <v>0</v>
          </cell>
          <cell r="U334">
            <v>6.4448566392881581</v>
          </cell>
          <cell r="V334">
            <v>1.9604595542575765</v>
          </cell>
          <cell r="W334" t="str">
            <v>ความเสี่ยงต่ำ</v>
          </cell>
        </row>
        <row r="335">
          <cell r="A335">
            <v>480234</v>
          </cell>
          <cell r="B335" t="str">
            <v>นาย</v>
          </cell>
          <cell r="C335" t="str">
            <v>อุทิศ</v>
          </cell>
          <cell r="D335" t="str">
            <v>ปันสา</v>
          </cell>
          <cell r="E335" t="str">
            <v>ผ.ปก.A ปก.</v>
          </cell>
          <cell r="F335" t="str">
            <v>Operation</v>
          </cell>
          <cell r="G335">
            <v>42.885694729637237</v>
          </cell>
          <cell r="H335" t="str">
            <v>Male</v>
          </cell>
          <cell r="I335" t="str">
            <v>ไม่สูบ</v>
          </cell>
          <cell r="J335">
            <v>113</v>
          </cell>
          <cell r="K335">
            <v>174</v>
          </cell>
          <cell r="L335">
            <v>68</v>
          </cell>
          <cell r="M335">
            <v>22.460034350640772</v>
          </cell>
          <cell r="N335">
            <v>81</v>
          </cell>
          <cell r="O335" t="str">
            <v>ไม่มี</v>
          </cell>
          <cell r="P335">
            <v>91</v>
          </cell>
          <cell r="Q335">
            <v>251</v>
          </cell>
          <cell r="R335">
            <v>1</v>
          </cell>
          <cell r="S335">
            <v>0</v>
          </cell>
          <cell r="T335">
            <v>0</v>
          </cell>
          <cell r="U335">
            <v>6.7913663997262148</v>
          </cell>
          <cell r="V335">
            <v>2.7610342103879915</v>
          </cell>
          <cell r="W335" t="str">
            <v>ความเสี่ยงต่ำ</v>
          </cell>
        </row>
        <row r="336">
          <cell r="A336">
            <v>590085</v>
          </cell>
          <cell r="B336" t="str">
            <v>นาย</v>
          </cell>
          <cell r="C336" t="str">
            <v>เสกข์สิริ</v>
          </cell>
          <cell r="D336" t="str">
            <v>เรียงทองหลาง</v>
          </cell>
          <cell r="E336" t="str">
            <v>บค.วบก.</v>
          </cell>
          <cell r="F336" t="str">
            <v>Maintenance</v>
          </cell>
          <cell r="G336">
            <v>33.730321697467488</v>
          </cell>
          <cell r="H336" t="str">
            <v>Male</v>
          </cell>
          <cell r="I336" t="str">
            <v>ไม่สูบ</v>
          </cell>
          <cell r="J336">
            <v>119</v>
          </cell>
          <cell r="K336">
            <v>183.5</v>
          </cell>
          <cell r="L336">
            <v>81.099999999999994</v>
          </cell>
          <cell r="M336">
            <v>24.085114597331632</v>
          </cell>
          <cell r="N336">
            <v>85</v>
          </cell>
          <cell r="O336" t="str">
            <v>ไม่มี</v>
          </cell>
          <cell r="P336">
            <v>73</v>
          </cell>
          <cell r="Q336">
            <v>220</v>
          </cell>
          <cell r="R336">
            <v>1</v>
          </cell>
          <cell r="S336">
            <v>0</v>
          </cell>
          <cell r="T336">
            <v>0</v>
          </cell>
          <cell r="U336">
            <v>6.1015022245037649</v>
          </cell>
          <cell r="V336">
            <v>1.3947195489673381</v>
          </cell>
          <cell r="W336" t="str">
            <v>ความเสี่ยงต่ำ</v>
          </cell>
        </row>
        <row r="337">
          <cell r="A337">
            <v>600031</v>
          </cell>
          <cell r="B337" t="str">
            <v>นางสาว</v>
          </cell>
          <cell r="C337" t="str">
            <v>ทิพย์พาพรรณ</v>
          </cell>
          <cell r="D337" t="str">
            <v>สันตระกูล</v>
          </cell>
          <cell r="E337" t="str">
            <v>กช.บรก.</v>
          </cell>
          <cell r="F337" t="str">
            <v>Support</v>
          </cell>
          <cell r="G337">
            <v>36.487337440109506</v>
          </cell>
          <cell r="H337" t="str">
            <v>Female</v>
          </cell>
          <cell r="I337" t="str">
            <v>ไม่สูบ</v>
          </cell>
          <cell r="J337">
            <v>109</v>
          </cell>
          <cell r="K337">
            <v>152.5</v>
          </cell>
          <cell r="L337">
            <v>48.3</v>
          </cell>
          <cell r="M337">
            <v>20.768610588551461</v>
          </cell>
          <cell r="N337">
            <v>75</v>
          </cell>
          <cell r="O337" t="str">
            <v>ไมเกรน</v>
          </cell>
          <cell r="P337">
            <v>81</v>
          </cell>
          <cell r="Q337">
            <v>304</v>
          </cell>
          <cell r="R337">
            <v>0</v>
          </cell>
          <cell r="S337">
            <v>0</v>
          </cell>
          <cell r="T337">
            <v>0</v>
          </cell>
          <cell r="U337">
            <v>5.9017988227241602</v>
          </cell>
          <cell r="V337">
            <v>1.1436884682254789</v>
          </cell>
          <cell r="W337" t="str">
            <v>ความเสี่ยงต่ำ</v>
          </cell>
        </row>
        <row r="338">
          <cell r="A338">
            <v>530055</v>
          </cell>
          <cell r="B338" t="str">
            <v>นาย</v>
          </cell>
          <cell r="C338" t="str">
            <v>วิชัย</v>
          </cell>
          <cell r="D338" t="str">
            <v>วรรณพราหมณ์</v>
          </cell>
          <cell r="E338" t="str">
            <v>คผ.A ปผ.</v>
          </cell>
          <cell r="F338" t="str">
            <v>Operation</v>
          </cell>
          <cell r="G338">
            <v>40.733744010951398</v>
          </cell>
          <cell r="H338" t="str">
            <v>Male</v>
          </cell>
          <cell r="I338" t="str">
            <v>ไม่สูบ</v>
          </cell>
          <cell r="J338">
            <v>113</v>
          </cell>
          <cell r="K338">
            <v>170</v>
          </cell>
          <cell r="L338">
            <v>74.400000000000006</v>
          </cell>
          <cell r="M338">
            <v>25.743944636678201</v>
          </cell>
          <cell r="N338">
            <v>87</v>
          </cell>
          <cell r="O338" t="str">
            <v>ไม่มี</v>
          </cell>
          <cell r="P338">
            <v>87</v>
          </cell>
          <cell r="Q338">
            <v>211</v>
          </cell>
          <cell r="R338">
            <v>1</v>
          </cell>
          <cell r="S338">
            <v>0</v>
          </cell>
          <cell r="T338">
            <v>0</v>
          </cell>
          <cell r="U338">
            <v>6.5304722724161532</v>
          </cell>
          <cell r="V338">
            <v>2.1338176301502254</v>
          </cell>
          <cell r="W338" t="str">
            <v>ความเสี่ยงต่ำ</v>
          </cell>
        </row>
        <row r="339">
          <cell r="A339">
            <v>540171</v>
          </cell>
          <cell r="B339" t="str">
            <v>นาย</v>
          </cell>
          <cell r="C339" t="str">
            <v>กิติพล</v>
          </cell>
          <cell r="D339" t="str">
            <v>หนูสง</v>
          </cell>
          <cell r="E339" t="str">
            <v>วก.วบก.</v>
          </cell>
          <cell r="F339" t="str">
            <v>Maintenance</v>
          </cell>
          <cell r="G339">
            <v>38.631074606433941</v>
          </cell>
          <cell r="H339" t="str">
            <v>Male</v>
          </cell>
          <cell r="I339" t="str">
            <v>ไม่สูบ</v>
          </cell>
          <cell r="J339">
            <v>133</v>
          </cell>
          <cell r="K339">
            <v>175</v>
          </cell>
          <cell r="L339">
            <v>74</v>
          </cell>
          <cell r="M339">
            <v>24.163265306122447</v>
          </cell>
          <cell r="N339">
            <v>85</v>
          </cell>
          <cell r="O339" t="str">
            <v>ไม่มี</v>
          </cell>
          <cell r="P339">
            <v>94</v>
          </cell>
          <cell r="Q339">
            <v>228</v>
          </cell>
          <cell r="R339">
            <v>1</v>
          </cell>
          <cell r="S339">
            <v>0</v>
          </cell>
          <cell r="T339">
            <v>0</v>
          </cell>
          <cell r="U339">
            <v>6.8112508350444898</v>
          </cell>
          <cell r="V339">
            <v>2.8156972700572491</v>
          </cell>
          <cell r="W339" t="str">
            <v>ความเสี่ยงต่ำ</v>
          </cell>
        </row>
        <row r="340">
          <cell r="A340">
            <v>580256</v>
          </cell>
          <cell r="B340" t="str">
            <v>นาย</v>
          </cell>
          <cell r="C340" t="str">
            <v>อดิศักดิ์</v>
          </cell>
          <cell r="D340" t="str">
            <v>มณีมัย</v>
          </cell>
          <cell r="E340" t="str">
            <v>คผ.B ปผ.</v>
          </cell>
          <cell r="F340" t="str">
            <v>Operation</v>
          </cell>
          <cell r="G340">
            <v>31.167693360711841</v>
          </cell>
          <cell r="H340" t="str">
            <v>Male</v>
          </cell>
          <cell r="I340" t="str">
            <v>ไม่สูบ</v>
          </cell>
          <cell r="J340">
            <v>135</v>
          </cell>
          <cell r="K340">
            <v>171.5</v>
          </cell>
          <cell r="L340">
            <v>71.2</v>
          </cell>
          <cell r="M340">
            <v>24.207600574590522</v>
          </cell>
          <cell r="N340">
            <v>79</v>
          </cell>
          <cell r="O340" t="str">
            <v>ไม่มี</v>
          </cell>
          <cell r="P340">
            <v>90</v>
          </cell>
          <cell r="Q340">
            <v>249</v>
          </cell>
          <cell r="R340">
            <v>1</v>
          </cell>
          <cell r="S340">
            <v>0</v>
          </cell>
          <cell r="T340">
            <v>0</v>
          </cell>
          <cell r="U340">
            <v>6.28672234770705</v>
          </cell>
          <cell r="V340">
            <v>1.6761310047096134</v>
          </cell>
          <cell r="W340" t="str">
            <v>ความเสี่ยงต่ำ</v>
          </cell>
        </row>
        <row r="341">
          <cell r="A341">
            <v>490028</v>
          </cell>
          <cell r="B341" t="str">
            <v>นาย</v>
          </cell>
          <cell r="C341" t="str">
            <v>สิริวิช</v>
          </cell>
          <cell r="D341" t="str">
            <v>ประดิษฐ์เทียมผล</v>
          </cell>
          <cell r="E341" t="str">
            <v>รส.บรก.</v>
          </cell>
          <cell r="F341" t="str">
            <v>Support</v>
          </cell>
          <cell r="G341">
            <v>43.581108829568791</v>
          </cell>
          <cell r="H341" t="str">
            <v>Male</v>
          </cell>
          <cell r="I341" t="str">
            <v>ไม่สูบ</v>
          </cell>
          <cell r="J341">
            <v>115</v>
          </cell>
          <cell r="K341">
            <v>171</v>
          </cell>
          <cell r="L341">
            <v>80.099999999999994</v>
          </cell>
          <cell r="M341">
            <v>27.393044013542628</v>
          </cell>
          <cell r="N341">
            <v>94</v>
          </cell>
          <cell r="O341" t="str">
            <v>ไม่มี</v>
          </cell>
          <cell r="P341">
            <v>86</v>
          </cell>
          <cell r="Q341">
            <v>270</v>
          </cell>
          <cell r="R341">
            <v>1</v>
          </cell>
          <cell r="S341">
            <v>0</v>
          </cell>
          <cell r="T341">
            <v>0</v>
          </cell>
          <cell r="U341">
            <v>6.9302321355236138</v>
          </cell>
          <cell r="V341">
            <v>3.1657691298703217</v>
          </cell>
          <cell r="W341" t="str">
            <v>ความเสี่ยงต่ำ</v>
          </cell>
        </row>
        <row r="342">
          <cell r="A342">
            <v>600089</v>
          </cell>
          <cell r="B342" t="str">
            <v>นาย</v>
          </cell>
          <cell r="C342" t="str">
            <v>วิทวัส</v>
          </cell>
          <cell r="D342" t="str">
            <v>วงศ์อร่ามวิไล</v>
          </cell>
          <cell r="E342" t="str">
            <v>คผ.D ปต.</v>
          </cell>
          <cell r="F342" t="str">
            <v>Operation</v>
          </cell>
          <cell r="G342">
            <v>29.593429158110883</v>
          </cell>
          <cell r="H342" t="str">
            <v>Male</v>
          </cell>
          <cell r="I342" t="str">
            <v>ไม่สูบ</v>
          </cell>
          <cell r="J342">
            <v>133</v>
          </cell>
          <cell r="K342">
            <v>168.5</v>
          </cell>
          <cell r="L342">
            <v>67.3</v>
          </cell>
          <cell r="M342">
            <v>23.703651524623798</v>
          </cell>
          <cell r="N342">
            <v>84</v>
          </cell>
          <cell r="O342" t="str">
            <v>ไม่มี</v>
          </cell>
          <cell r="P342">
            <v>89</v>
          </cell>
          <cell r="Q342">
            <v>220</v>
          </cell>
          <cell r="R342">
            <v>1</v>
          </cell>
          <cell r="S342">
            <v>0</v>
          </cell>
          <cell r="T342">
            <v>0</v>
          </cell>
          <cell r="U342">
            <v>6.0547403080082134</v>
          </cell>
          <cell r="V342">
            <v>1.331427318881484</v>
          </cell>
          <cell r="W342" t="str">
            <v>ความเสี่ยงต่ำ</v>
          </cell>
        </row>
        <row r="343">
          <cell r="A343">
            <v>650099</v>
          </cell>
          <cell r="B343" t="str">
            <v>นาย</v>
          </cell>
          <cell r="C343" t="str">
            <v>ฐานันดร</v>
          </cell>
          <cell r="D343" t="str">
            <v>สิทธิบุตร</v>
          </cell>
          <cell r="E343" t="str">
            <v>บฟ.วบก.</v>
          </cell>
          <cell r="F343" t="str">
            <v>Maintenance</v>
          </cell>
          <cell r="G343">
            <v>28.856947296372347</v>
          </cell>
          <cell r="H343" t="str">
            <v>Male</v>
          </cell>
          <cell r="I343" t="str">
            <v>ไม่ระบุ</v>
          </cell>
          <cell r="J343">
            <v>137</v>
          </cell>
          <cell r="K343">
            <v>172.5</v>
          </cell>
          <cell r="L343">
            <v>72.900000000000006</v>
          </cell>
          <cell r="M343">
            <v>24.499054820415878</v>
          </cell>
          <cell r="N343">
            <v>88</v>
          </cell>
          <cell r="O343" t="str">
            <v>ไม่มี</v>
          </cell>
          <cell r="P343">
            <v>114</v>
          </cell>
          <cell r="Q343">
            <v>203</v>
          </cell>
          <cell r="R343">
            <v>1</v>
          </cell>
          <cell r="S343">
            <v>1</v>
          </cell>
          <cell r="T343">
            <v>0</v>
          </cell>
          <cell r="U343">
            <v>6.4609539972621493</v>
          </cell>
          <cell r="V343">
            <v>1.9919541797135287</v>
          </cell>
          <cell r="W343" t="str">
            <v>ความเสี่ยงต่ำ</v>
          </cell>
        </row>
        <row r="344">
          <cell r="A344">
            <v>630047</v>
          </cell>
          <cell r="B344" t="str">
            <v>นางสาว</v>
          </cell>
          <cell r="C344" t="str">
            <v>ธันยมัย</v>
          </cell>
          <cell r="D344" t="str">
            <v>พ.จานุพิบูล</v>
          </cell>
          <cell r="E344" t="str">
            <v>กช.บรก.</v>
          </cell>
          <cell r="F344" t="str">
            <v>Support</v>
          </cell>
          <cell r="G344">
            <v>32.473648186173854</v>
          </cell>
          <cell r="H344" t="str">
            <v>Female</v>
          </cell>
          <cell r="I344" t="str">
            <v>ไม่สูบ</v>
          </cell>
          <cell r="J344">
            <v>103</v>
          </cell>
          <cell r="K344">
            <v>169</v>
          </cell>
          <cell r="L344">
            <v>46</v>
          </cell>
          <cell r="M344">
            <v>16.10587864570568</v>
          </cell>
          <cell r="N344">
            <v>64</v>
          </cell>
          <cell r="O344" t="str">
            <v>ไม่มี</v>
          </cell>
          <cell r="P344">
            <v>91</v>
          </cell>
          <cell r="Q344">
            <v>202</v>
          </cell>
          <cell r="R344">
            <v>0</v>
          </cell>
          <cell r="S344">
            <v>0</v>
          </cell>
          <cell r="T344">
            <v>0</v>
          </cell>
          <cell r="U344">
            <v>5.2320786310746064</v>
          </cell>
          <cell r="V344">
            <v>0.58704242381730776</v>
          </cell>
          <cell r="W344" t="str">
            <v>ความเสี่ยงต่ำ</v>
          </cell>
        </row>
        <row r="345">
          <cell r="A345">
            <v>490058</v>
          </cell>
          <cell r="B345" t="str">
            <v>นาย</v>
          </cell>
          <cell r="C345" t="str">
            <v>อภิเชษฐ</v>
          </cell>
          <cell r="D345" t="str">
            <v>รัตบุตร</v>
          </cell>
          <cell r="E345" t="str">
            <v>รส.บรก.</v>
          </cell>
          <cell r="F345" t="str">
            <v>Support</v>
          </cell>
          <cell r="G345">
            <v>41.826146475017111</v>
          </cell>
          <cell r="H345" t="str">
            <v>Male</v>
          </cell>
          <cell r="I345" t="str">
            <v>ไม่สูบ</v>
          </cell>
          <cell r="J345">
            <v>110</v>
          </cell>
          <cell r="K345">
            <v>181.5</v>
          </cell>
          <cell r="L345">
            <v>80.099999999999994</v>
          </cell>
          <cell r="M345">
            <v>24.31527901099652</v>
          </cell>
          <cell r="N345">
            <v>91</v>
          </cell>
          <cell r="O345" t="str">
            <v>ไม่มี</v>
          </cell>
          <cell r="P345">
            <v>95</v>
          </cell>
          <cell r="Q345">
            <v>253</v>
          </cell>
          <cell r="R345">
            <v>1</v>
          </cell>
          <cell r="S345">
            <v>0</v>
          </cell>
          <cell r="T345">
            <v>0</v>
          </cell>
          <cell r="U345">
            <v>6.6463835660506501</v>
          </cell>
          <cell r="V345">
            <v>2.3928943503707445</v>
          </cell>
          <cell r="W345" t="str">
            <v>ความเสี่ยงต่ำ</v>
          </cell>
        </row>
        <row r="346">
          <cell r="A346">
            <v>490173</v>
          </cell>
          <cell r="B346" t="str">
            <v>นาย</v>
          </cell>
          <cell r="C346" t="str">
            <v>ศุภชัย</v>
          </cell>
          <cell r="D346" t="str">
            <v>พันธุ์สา</v>
          </cell>
          <cell r="E346" t="str">
            <v>บฟ.วบก.</v>
          </cell>
          <cell r="F346" t="str">
            <v>Maintenance</v>
          </cell>
          <cell r="G346">
            <v>40.703627652292951</v>
          </cell>
          <cell r="H346" t="str">
            <v>Male</v>
          </cell>
          <cell r="I346" t="str">
            <v>ไม่สูบ</v>
          </cell>
          <cell r="J346">
            <v>122</v>
          </cell>
          <cell r="K346">
            <v>179.5</v>
          </cell>
          <cell r="L346">
            <v>93.3</v>
          </cell>
          <cell r="M346">
            <v>28.956944778516615</v>
          </cell>
          <cell r="N346">
            <v>91</v>
          </cell>
          <cell r="O346" t="str">
            <v>ไม่มี</v>
          </cell>
          <cell r="P346">
            <v>88</v>
          </cell>
          <cell r="Q346">
            <v>193</v>
          </cell>
          <cell r="R346">
            <v>1</v>
          </cell>
          <cell r="S346">
            <v>0</v>
          </cell>
          <cell r="T346">
            <v>0</v>
          </cell>
          <cell r="U346">
            <v>6.6774078507871319</v>
          </cell>
          <cell r="V346">
            <v>2.4673579363549747</v>
          </cell>
          <cell r="W346" t="str">
            <v>ความเสี่ยงต่ำ</v>
          </cell>
        </row>
        <row r="347">
          <cell r="A347">
            <v>660074</v>
          </cell>
          <cell r="B347" t="str">
            <v>นาย</v>
          </cell>
          <cell r="C347" t="str">
            <v>ดนัย</v>
          </cell>
          <cell r="D347" t="str">
            <v>เผือกผ่อง</v>
          </cell>
          <cell r="E347" t="str">
            <v>ซญ.วบก.</v>
          </cell>
          <cell r="F347" t="str">
            <v>Maintenance</v>
          </cell>
          <cell r="G347">
            <v>28.777549623545518</v>
          </cell>
          <cell r="H347" t="str">
            <v>Male</v>
          </cell>
          <cell r="I347" t="str">
            <v>ไม่สูบ</v>
          </cell>
          <cell r="J347">
            <v>112</v>
          </cell>
          <cell r="K347">
            <v>176.5</v>
          </cell>
          <cell r="L347">
            <v>94.6</v>
          </cell>
          <cell r="M347">
            <v>30.36698793827091</v>
          </cell>
          <cell r="N347">
            <v>100</v>
          </cell>
          <cell r="O347" t="str">
            <v>ไม่มี</v>
          </cell>
          <cell r="P347">
            <v>84</v>
          </cell>
          <cell r="Q347">
            <v>228</v>
          </cell>
          <cell r="R347">
            <v>1</v>
          </cell>
          <cell r="S347">
            <v>0</v>
          </cell>
          <cell r="T347">
            <v>0</v>
          </cell>
          <cell r="U347">
            <v>5.5672968856947298</v>
          </cell>
          <cell r="V347">
            <v>0.81986881353389718</v>
          </cell>
          <cell r="W347" t="str">
            <v>ความเสี่ยงต่ำ</v>
          </cell>
        </row>
        <row r="348">
          <cell r="A348">
            <v>550335</v>
          </cell>
          <cell r="B348" t="str">
            <v>นาย</v>
          </cell>
          <cell r="C348" t="str">
            <v>สุรกาญจน์</v>
          </cell>
          <cell r="D348" t="str">
            <v>กล่อมขาว</v>
          </cell>
          <cell r="E348" t="str">
            <v>วผ.ทผก.</v>
          </cell>
          <cell r="F348" t="str">
            <v>Support</v>
          </cell>
          <cell r="G348">
            <v>38.179329226557151</v>
          </cell>
          <cell r="H348" t="str">
            <v>Male</v>
          </cell>
          <cell r="I348" t="str">
            <v>ไม่สูบ</v>
          </cell>
          <cell r="J348">
            <v>123</v>
          </cell>
          <cell r="K348">
            <v>178</v>
          </cell>
          <cell r="L348">
            <v>78.900000000000006</v>
          </cell>
          <cell r="M348">
            <v>24.902158818331017</v>
          </cell>
          <cell r="N348">
            <v>88</v>
          </cell>
          <cell r="O348" t="str">
            <v>โรคเก๊าท์</v>
          </cell>
          <cell r="P348">
            <v>80</v>
          </cell>
          <cell r="Q348">
            <v>214</v>
          </cell>
          <cell r="R348">
            <v>1</v>
          </cell>
          <cell r="S348">
            <v>0</v>
          </cell>
          <cell r="T348">
            <v>0</v>
          </cell>
          <cell r="U348">
            <v>6.5362045106091724</v>
          </cell>
          <cell r="V348">
            <v>2.1459517377625192</v>
          </cell>
          <cell r="W348" t="str">
            <v>ความเสี่ยงต่ำ</v>
          </cell>
        </row>
        <row r="349">
          <cell r="A349">
            <v>580098</v>
          </cell>
          <cell r="B349" t="str">
            <v>นาย</v>
          </cell>
          <cell r="C349" t="str">
            <v>วรพงค์</v>
          </cell>
          <cell r="D349" t="str">
            <v>ปวงคำ</v>
          </cell>
          <cell r="E349" t="str">
            <v>คผ.A ปต.</v>
          </cell>
          <cell r="F349" t="str">
            <v>Operation</v>
          </cell>
          <cell r="G349">
            <v>35.364818617385346</v>
          </cell>
          <cell r="H349" t="str">
            <v>Male</v>
          </cell>
          <cell r="I349" t="str">
            <v>ไม่สูบ</v>
          </cell>
          <cell r="J349">
            <v>131</v>
          </cell>
          <cell r="K349">
            <v>168</v>
          </cell>
          <cell r="L349">
            <v>77.099999999999994</v>
          </cell>
          <cell r="M349">
            <v>27.317176870748298</v>
          </cell>
          <cell r="N349">
            <v>92</v>
          </cell>
          <cell r="O349" t="str">
            <v>ไม่มี</v>
          </cell>
          <cell r="P349">
            <v>88</v>
          </cell>
          <cell r="Q349">
            <v>270</v>
          </cell>
          <cell r="R349">
            <v>1</v>
          </cell>
          <cell r="S349">
            <v>0</v>
          </cell>
          <cell r="T349">
            <v>0</v>
          </cell>
          <cell r="U349">
            <v>6.5913331074606436</v>
          </cell>
          <cell r="V349">
            <v>2.2661883790728421</v>
          </cell>
          <cell r="W349" t="str">
            <v>ความเสี่ยงต่ำ</v>
          </cell>
        </row>
        <row r="350">
          <cell r="A350">
            <v>630045</v>
          </cell>
          <cell r="B350" t="str">
            <v>นาย</v>
          </cell>
          <cell r="C350" t="str">
            <v>กฤษฏิ์</v>
          </cell>
          <cell r="D350" t="str">
            <v>พูลผกา</v>
          </cell>
          <cell r="E350" t="str">
            <v>ปภ.ผยก.</v>
          </cell>
          <cell r="F350" t="str">
            <v>Support</v>
          </cell>
          <cell r="G350">
            <v>31.852156057494852</v>
          </cell>
          <cell r="H350" t="str">
            <v>Male</v>
          </cell>
          <cell r="I350" t="str">
            <v>ไม่ระบุ</v>
          </cell>
          <cell r="J350">
            <v>122</v>
          </cell>
          <cell r="K350">
            <v>177</v>
          </cell>
          <cell r="L350">
            <v>78</v>
          </cell>
          <cell r="M350">
            <v>24.897060231734176</v>
          </cell>
          <cell r="N350">
            <v>88</v>
          </cell>
          <cell r="O350" t="str">
            <v>ไม่มี</v>
          </cell>
          <cell r="P350">
            <v>92</v>
          </cell>
          <cell r="Q350">
            <v>150</v>
          </cell>
          <cell r="R350">
            <v>1</v>
          </cell>
          <cell r="S350">
            <v>1</v>
          </cell>
          <cell r="T350">
            <v>0</v>
          </cell>
          <cell r="U350">
            <v>6.2810919301848038</v>
          </cell>
          <cell r="V350">
            <v>1.6667990757766371</v>
          </cell>
          <cell r="W350" t="str">
            <v>ความเสี่ยงต่ำ</v>
          </cell>
        </row>
        <row r="351">
          <cell r="A351">
            <v>560032</v>
          </cell>
          <cell r="B351" t="str">
            <v>นาย</v>
          </cell>
          <cell r="C351" t="str">
            <v>ชาญวิทย์</v>
          </cell>
          <cell r="D351" t="str">
            <v>จันสถิรพานิช</v>
          </cell>
          <cell r="E351" t="str">
            <v>ทน.ทผก.</v>
          </cell>
          <cell r="F351" t="str">
            <v>Support</v>
          </cell>
          <cell r="G351">
            <v>38.26967830253249</v>
          </cell>
          <cell r="H351" t="str">
            <v>Male</v>
          </cell>
          <cell r="I351" t="str">
            <v>ไม่สูบ</v>
          </cell>
          <cell r="J351">
            <v>113</v>
          </cell>
          <cell r="K351">
            <v>175</v>
          </cell>
          <cell r="L351">
            <v>76.400000000000006</v>
          </cell>
          <cell r="M351">
            <v>24.946938775510205</v>
          </cell>
          <cell r="N351">
            <v>90</v>
          </cell>
          <cell r="O351" t="str">
            <v>ไม่มี</v>
          </cell>
          <cell r="P351">
            <v>88</v>
          </cell>
          <cell r="Q351">
            <v>238</v>
          </cell>
          <cell r="R351">
            <v>1</v>
          </cell>
          <cell r="S351">
            <v>0</v>
          </cell>
          <cell r="T351">
            <v>0</v>
          </cell>
          <cell r="U351">
            <v>6.3860777754962328</v>
          </cell>
          <cell r="V351">
            <v>1.8495888223780232</v>
          </cell>
          <cell r="W351" t="str">
            <v>ความเสี่ยงต่ำ</v>
          </cell>
        </row>
        <row r="352">
          <cell r="A352">
            <v>580194</v>
          </cell>
          <cell r="B352" t="str">
            <v>นาย</v>
          </cell>
          <cell r="C352" t="str">
            <v>คณพล</v>
          </cell>
          <cell r="D352" t="str">
            <v>หมื่นไกรทอง</v>
          </cell>
          <cell r="E352" t="str">
            <v>ตร.วบก.</v>
          </cell>
          <cell r="F352" t="str">
            <v>Maintenance</v>
          </cell>
          <cell r="G352">
            <v>32.361396303901422</v>
          </cell>
          <cell r="H352" t="str">
            <v>Male</v>
          </cell>
          <cell r="I352" t="str">
            <v>ไม่สูบ</v>
          </cell>
          <cell r="J352">
            <v>130</v>
          </cell>
          <cell r="K352">
            <v>173</v>
          </cell>
          <cell r="L352">
            <v>84.3</v>
          </cell>
          <cell r="M352">
            <v>28.166661097931772</v>
          </cell>
          <cell r="N352">
            <v>91</v>
          </cell>
          <cell r="O352" t="str">
            <v>โรคภูมิแพ้</v>
          </cell>
          <cell r="P352">
            <v>88</v>
          </cell>
          <cell r="Q352">
            <v>279</v>
          </cell>
          <cell r="R352">
            <v>1</v>
          </cell>
          <cell r="S352">
            <v>0</v>
          </cell>
          <cell r="T352">
            <v>0</v>
          </cell>
          <cell r="U352">
            <v>6.3438030595482529</v>
          </cell>
          <cell r="V352">
            <v>1.7737108068326179</v>
          </cell>
          <cell r="W352" t="str">
            <v>ความเสี่ยงต่ำ</v>
          </cell>
        </row>
        <row r="353">
          <cell r="A353">
            <v>360102</v>
          </cell>
          <cell r="B353" t="str">
            <v>นาย</v>
          </cell>
          <cell r="C353" t="str">
            <v>ธวัชชัย</v>
          </cell>
          <cell r="D353" t="str">
            <v>สิงห์หา</v>
          </cell>
          <cell r="E353" t="str">
            <v>อท.บรก.</v>
          </cell>
          <cell r="F353" t="str">
            <v>Support</v>
          </cell>
          <cell r="G353">
            <v>55.624914442162904</v>
          </cell>
          <cell r="H353" t="str">
            <v>Male</v>
          </cell>
          <cell r="I353" t="str">
            <v>ไม่สูบ</v>
          </cell>
          <cell r="J353">
            <v>126</v>
          </cell>
          <cell r="K353">
            <v>174</v>
          </cell>
          <cell r="L353">
            <v>77.400000000000006</v>
          </cell>
          <cell r="M353">
            <v>25.564803804994053</v>
          </cell>
          <cell r="N353">
            <v>90</v>
          </cell>
          <cell r="O353" t="str">
            <v>โรคความดันโลหิตสูง</v>
          </cell>
          <cell r="P353">
            <v>94</v>
          </cell>
          <cell r="Q353">
            <v>249</v>
          </cell>
          <cell r="R353">
            <v>1</v>
          </cell>
          <cell r="S353">
            <v>0</v>
          </cell>
          <cell r="T353">
            <v>0</v>
          </cell>
          <cell r="U353">
            <v>8.1004967488021915</v>
          </cell>
          <cell r="V353">
            <v>9.8484227264068025</v>
          </cell>
          <cell r="W353" t="str">
            <v>ความเสี่ยงต่ำ</v>
          </cell>
        </row>
        <row r="354">
          <cell r="A354">
            <v>480211</v>
          </cell>
          <cell r="B354" t="str">
            <v>นาย</v>
          </cell>
          <cell r="C354" t="str">
            <v>นพ</v>
          </cell>
          <cell r="D354" t="str">
            <v>ธนาภรณ์</v>
          </cell>
          <cell r="E354" t="str">
            <v>คผ.A ปผ.</v>
          </cell>
          <cell r="F354" t="str">
            <v>Operation</v>
          </cell>
          <cell r="G354">
            <v>41.51403148528405</v>
          </cell>
          <cell r="H354" t="str">
            <v>Male</v>
          </cell>
          <cell r="I354" t="str">
            <v>สูบ 15 มวนต่อวัน</v>
          </cell>
          <cell r="J354">
            <v>134</v>
          </cell>
          <cell r="K354">
            <v>174</v>
          </cell>
          <cell r="L354">
            <v>74.099999999999994</v>
          </cell>
          <cell r="M354">
            <v>24.474831549742369</v>
          </cell>
          <cell r="N354">
            <v>92</v>
          </cell>
          <cell r="O354" t="str">
            <v>ไม่มี</v>
          </cell>
          <cell r="P354">
            <v>96</v>
          </cell>
          <cell r="Q354">
            <v>262</v>
          </cell>
          <cell r="R354">
            <v>1</v>
          </cell>
          <cell r="S354">
            <v>1</v>
          </cell>
          <cell r="T354">
            <v>0</v>
          </cell>
          <cell r="U354">
            <v>7.5592431964407938</v>
          </cell>
          <cell r="V354">
            <v>5.8557807674954221</v>
          </cell>
          <cell r="W354" t="str">
            <v>ความเสี่ยงต่ำ</v>
          </cell>
        </row>
        <row r="355">
          <cell r="A355">
            <v>440047</v>
          </cell>
          <cell r="B355" t="str">
            <v>นาย</v>
          </cell>
          <cell r="C355" t="str">
            <v>อัมเรศ</v>
          </cell>
          <cell r="D355" t="str">
            <v>สีนวล</v>
          </cell>
          <cell r="E355" t="str">
            <v>ผ.ปก.D ปอ.</v>
          </cell>
          <cell r="F355" t="str">
            <v>Operation</v>
          </cell>
          <cell r="G355">
            <v>48.741957563312802</v>
          </cell>
          <cell r="H355" t="str">
            <v>Male</v>
          </cell>
          <cell r="I355" t="str">
            <v>ไม่สูบ</v>
          </cell>
          <cell r="J355">
            <v>138</v>
          </cell>
          <cell r="K355">
            <v>167.5</v>
          </cell>
          <cell r="L355">
            <v>68.8</v>
          </cell>
          <cell r="M355">
            <v>24.522165292938293</v>
          </cell>
          <cell r="N355">
            <v>89</v>
          </cell>
          <cell r="O355" t="str">
            <v>ไม่มี</v>
          </cell>
          <cell r="P355">
            <v>86</v>
          </cell>
          <cell r="Q355">
            <v>267</v>
          </cell>
          <cell r="R355">
            <v>1</v>
          </cell>
          <cell r="S355">
            <v>0</v>
          </cell>
          <cell r="T355">
            <v>0</v>
          </cell>
          <cell r="U355">
            <v>7.8255043874058865</v>
          </cell>
          <cell r="V355">
            <v>7.5730259455771716</v>
          </cell>
          <cell r="W355" t="str">
            <v>ความเสี่ยงต่ำ</v>
          </cell>
        </row>
        <row r="356">
          <cell r="A356">
            <v>640022</v>
          </cell>
          <cell r="B356" t="str">
            <v>นางสาว</v>
          </cell>
          <cell r="C356" t="str">
            <v>ปิยนุช</v>
          </cell>
          <cell r="D356" t="str">
            <v>สบายแก้ว</v>
          </cell>
          <cell r="E356" t="str">
            <v>วผ.ทผก.</v>
          </cell>
          <cell r="F356" t="str">
            <v>Support</v>
          </cell>
          <cell r="G356">
            <v>33.566050650239561</v>
          </cell>
          <cell r="H356" t="str">
            <v>Female</v>
          </cell>
          <cell r="I356" t="str">
            <v>ไม่สูบ</v>
          </cell>
          <cell r="J356">
            <v>127</v>
          </cell>
          <cell r="K356">
            <v>154.5</v>
          </cell>
          <cell r="L356">
            <v>53.7</v>
          </cell>
          <cell r="M356">
            <v>22.496622364658936</v>
          </cell>
          <cell r="N356">
            <v>71</v>
          </cell>
          <cell r="O356" t="str">
            <v>ไม่มี</v>
          </cell>
          <cell r="P356">
            <v>81</v>
          </cell>
          <cell r="Q356">
            <v>214</v>
          </cell>
          <cell r="R356">
            <v>0</v>
          </cell>
          <cell r="S356">
            <v>0</v>
          </cell>
          <cell r="T356">
            <v>0</v>
          </cell>
          <cell r="U356">
            <v>5.8470699247091034</v>
          </cell>
          <cell r="V356">
            <v>1.0831087487372382</v>
          </cell>
          <cell r="W356" t="str">
            <v>ความเสี่ยงต่ำ</v>
          </cell>
        </row>
        <row r="357">
          <cell r="A357">
            <v>360103</v>
          </cell>
          <cell r="B357" t="str">
            <v>นาย</v>
          </cell>
          <cell r="C357" t="str">
            <v>ธีระ</v>
          </cell>
          <cell r="D357" t="str">
            <v>สีกาลา</v>
          </cell>
          <cell r="E357" t="str">
            <v>คผ.A ปต.</v>
          </cell>
          <cell r="F357" t="str">
            <v>Operation</v>
          </cell>
          <cell r="G357">
            <v>54.373716632443532</v>
          </cell>
          <cell r="H357" t="str">
            <v>Male</v>
          </cell>
          <cell r="I357" t="str">
            <v>ไม่ระบุ</v>
          </cell>
          <cell r="J357">
            <v>103</v>
          </cell>
          <cell r="K357">
            <v>167.5</v>
          </cell>
          <cell r="L357">
            <v>57.7</v>
          </cell>
          <cell r="M357">
            <v>20.565827578525283</v>
          </cell>
          <cell r="N357">
            <v>67</v>
          </cell>
          <cell r="O357" t="str">
            <v>ไม่มี</v>
          </cell>
          <cell r="P357">
            <v>92</v>
          </cell>
          <cell r="Q357">
            <v>256</v>
          </cell>
          <cell r="R357">
            <v>1</v>
          </cell>
          <cell r="S357">
            <v>1</v>
          </cell>
          <cell r="T357">
            <v>0</v>
          </cell>
          <cell r="U357">
            <v>7.9527912320328538</v>
          </cell>
          <cell r="V357">
            <v>8.5558007781917471</v>
          </cell>
          <cell r="W357" t="str">
            <v>ความเสี่ยงต่ำ</v>
          </cell>
        </row>
        <row r="358">
          <cell r="A358">
            <v>340097</v>
          </cell>
          <cell r="B358" t="str">
            <v>นาย</v>
          </cell>
          <cell r="C358" t="str">
            <v>วสันต์</v>
          </cell>
          <cell r="D358" t="str">
            <v>โยทะคง</v>
          </cell>
          <cell r="E358" t="str">
            <v>อท.บรก.</v>
          </cell>
          <cell r="F358" t="str">
            <v>Support</v>
          </cell>
          <cell r="G358">
            <v>54.70773442847365</v>
          </cell>
          <cell r="H358" t="str">
            <v>Male</v>
          </cell>
          <cell r="I358" t="str">
            <v>ไม่สูบ</v>
          </cell>
          <cell r="J358">
            <v>133</v>
          </cell>
          <cell r="K358">
            <v>169.5</v>
          </cell>
          <cell r="L358">
            <v>60.9</v>
          </cell>
          <cell r="M358">
            <v>21.197170229984074</v>
          </cell>
          <cell r="N358">
            <v>75</v>
          </cell>
          <cell r="O358" t="str">
            <v>ไม่มี</v>
          </cell>
          <cell r="P358">
            <v>81</v>
          </cell>
          <cell r="Q358">
            <v>143</v>
          </cell>
          <cell r="R358">
            <v>1</v>
          </cell>
          <cell r="S358">
            <v>0</v>
          </cell>
          <cell r="T358">
            <v>0</v>
          </cell>
          <cell r="U358">
            <v>7.9466039082819986</v>
          </cell>
          <cell r="V358">
            <v>8.505337696181325</v>
          </cell>
          <cell r="W358" t="str">
            <v>ความเสี่ยงต่ำ</v>
          </cell>
        </row>
        <row r="359">
          <cell r="A359">
            <v>670083</v>
          </cell>
          <cell r="B359" t="str">
            <v>นาย</v>
          </cell>
          <cell r="C359" t="str">
            <v>พชร</v>
          </cell>
          <cell r="D359" t="str">
            <v>ศุกลกิจศิริ</v>
          </cell>
          <cell r="E359" t="str">
            <v>ผ.บพ.พย.</v>
          </cell>
          <cell r="F359" t="str">
            <v>Support</v>
          </cell>
          <cell r="G359">
            <v>25.500342231348387</v>
          </cell>
          <cell r="H359" t="str">
            <v>Male</v>
          </cell>
          <cell r="I359" t="str">
            <v>ไม่สูบ</v>
          </cell>
          <cell r="J359">
            <v>127</v>
          </cell>
          <cell r="K359">
            <v>183.5</v>
          </cell>
          <cell r="L359">
            <v>65.8</v>
          </cell>
          <cell r="M359">
            <v>19.541313693026158</v>
          </cell>
          <cell r="N359">
            <v>80</v>
          </cell>
          <cell r="O359" t="str">
            <v>ไม่มี</v>
          </cell>
          <cell r="P359">
            <v>86</v>
          </cell>
          <cell r="Q359">
            <v>223</v>
          </cell>
          <cell r="R359">
            <v>1</v>
          </cell>
          <cell r="S359">
            <v>0</v>
          </cell>
          <cell r="T359">
            <v>0</v>
          </cell>
          <cell r="U359">
            <v>5.6011230047912379</v>
          </cell>
          <cell r="V359">
            <v>0.84795625006758302</v>
          </cell>
          <cell r="W359" t="str">
            <v>ความเสี่ยงต่ำ</v>
          </cell>
        </row>
        <row r="360">
          <cell r="A360">
            <v>500103</v>
          </cell>
          <cell r="B360" t="str">
            <v>นาย</v>
          </cell>
          <cell r="C360" t="str">
            <v>บุญส่ง</v>
          </cell>
          <cell r="D360" t="str">
            <v>แฮะประโคน</v>
          </cell>
          <cell r="E360" t="str">
            <v>คผ.D ปผ.</v>
          </cell>
          <cell r="F360" t="str">
            <v>Operation</v>
          </cell>
          <cell r="G360">
            <v>39.597535934291578</v>
          </cell>
          <cell r="H360" t="str">
            <v>Male</v>
          </cell>
          <cell r="I360" t="str">
            <v>ไม่สูบ</v>
          </cell>
          <cell r="J360">
            <v>127</v>
          </cell>
          <cell r="K360">
            <v>158.5</v>
          </cell>
          <cell r="L360">
            <v>70.2</v>
          </cell>
          <cell r="M360">
            <v>27.943356984346543</v>
          </cell>
          <cell r="N360">
            <v>93</v>
          </cell>
          <cell r="O360" t="str">
            <v>ไม่มี</v>
          </cell>
          <cell r="P360">
            <v>99</v>
          </cell>
          <cell r="Q360">
            <v>238</v>
          </cell>
          <cell r="R360">
            <v>1</v>
          </cell>
          <cell r="S360">
            <v>0</v>
          </cell>
          <cell r="T360">
            <v>0</v>
          </cell>
          <cell r="U360">
            <v>6.7864963655030799</v>
          </cell>
          <cell r="V360">
            <v>2.7478065744619862</v>
          </cell>
          <cell r="W360" t="str">
            <v>ความเสี่ยงต่ำ</v>
          </cell>
        </row>
        <row r="361">
          <cell r="A361">
            <v>590034</v>
          </cell>
          <cell r="B361" t="str">
            <v>นาย</v>
          </cell>
          <cell r="C361" t="str">
            <v>วุฒิกร</v>
          </cell>
          <cell r="D361" t="str">
            <v>หุ่นนิรันดร์</v>
          </cell>
          <cell r="E361" t="str">
            <v>ผบ.วบก.</v>
          </cell>
          <cell r="F361" t="str">
            <v>Maintenance</v>
          </cell>
          <cell r="G361">
            <v>33.002053388090346</v>
          </cell>
          <cell r="H361" t="str">
            <v>Male</v>
          </cell>
          <cell r="I361" t="str">
            <v>ไม่ระบุ</v>
          </cell>
          <cell r="J361">
            <v>118</v>
          </cell>
          <cell r="K361">
            <v>169.5</v>
          </cell>
          <cell r="L361">
            <v>69.099999999999994</v>
          </cell>
          <cell r="M361">
            <v>24.0513048093908</v>
          </cell>
          <cell r="N361">
            <v>86</v>
          </cell>
          <cell r="O361" t="str">
            <v>โรคภูมิแพ้</v>
          </cell>
          <cell r="P361">
            <v>79</v>
          </cell>
          <cell r="Q361">
            <v>244</v>
          </cell>
          <cell r="R361">
            <v>1</v>
          </cell>
          <cell r="S361">
            <v>1</v>
          </cell>
          <cell r="T361">
            <v>0</v>
          </cell>
          <cell r="U361">
            <v>6.4911080287474316</v>
          </cell>
          <cell r="V361">
            <v>2.0523043971392263</v>
          </cell>
          <cell r="W361" t="str">
            <v>ความเสี่ยงต่ำ</v>
          </cell>
        </row>
        <row r="362">
          <cell r="A362">
            <v>500158</v>
          </cell>
          <cell r="B362" t="str">
            <v>นาย</v>
          </cell>
          <cell r="C362" t="str">
            <v>บัญชา</v>
          </cell>
          <cell r="D362" t="str">
            <v>โมกไธสง</v>
          </cell>
          <cell r="E362" t="str">
            <v>คผ.B ปผ.</v>
          </cell>
          <cell r="F362" t="str">
            <v>Operation</v>
          </cell>
          <cell r="G362">
            <v>40.205338809034906</v>
          </cell>
          <cell r="H362" t="str">
            <v>Male</v>
          </cell>
          <cell r="I362" t="str">
            <v>ไม่ระบุ</v>
          </cell>
          <cell r="J362">
            <v>127</v>
          </cell>
          <cell r="K362">
            <v>161</v>
          </cell>
          <cell r="L362">
            <v>64.2</v>
          </cell>
          <cell r="M362">
            <v>24.76756297982331</v>
          </cell>
          <cell r="N362">
            <v>84</v>
          </cell>
          <cell r="O362" t="str">
            <v>ไม่มี</v>
          </cell>
          <cell r="P362">
            <v>83</v>
          </cell>
          <cell r="Q362">
            <v>240</v>
          </cell>
          <cell r="R362">
            <v>1</v>
          </cell>
          <cell r="S362">
            <v>1</v>
          </cell>
          <cell r="T362">
            <v>0</v>
          </cell>
          <cell r="U362">
            <v>7.2596328747433256</v>
          </cell>
          <cell r="V362">
            <v>4.3734918369878635</v>
          </cell>
          <cell r="W362" t="str">
            <v>ความเสี่ยงต่ำ</v>
          </cell>
        </row>
        <row r="363">
          <cell r="A363">
            <v>480169</v>
          </cell>
          <cell r="B363" t="str">
            <v>นาย</v>
          </cell>
          <cell r="C363" t="str">
            <v>สุริยันต์</v>
          </cell>
          <cell r="D363" t="str">
            <v>ประนัดตัง</v>
          </cell>
          <cell r="E363" t="str">
            <v>คผ.C ปผ.</v>
          </cell>
          <cell r="F363" t="str">
            <v>Operation</v>
          </cell>
          <cell r="G363">
            <v>41.812457221081452</v>
          </cell>
          <cell r="H363" t="str">
            <v>Male</v>
          </cell>
          <cell r="I363" t="str">
            <v>ไม่ระบุ</v>
          </cell>
          <cell r="J363">
            <v>106</v>
          </cell>
          <cell r="K363">
            <v>159</v>
          </cell>
          <cell r="L363">
            <v>54.3</v>
          </cell>
          <cell r="M363">
            <v>21.478580752343657</v>
          </cell>
          <cell r="N363">
            <v>79</v>
          </cell>
          <cell r="O363" t="str">
            <v>โรคเก๊าท์</v>
          </cell>
          <cell r="P363">
            <v>86</v>
          </cell>
          <cell r="Q363">
            <v>186</v>
          </cell>
          <cell r="R363">
            <v>1</v>
          </cell>
          <cell r="S363">
            <v>1</v>
          </cell>
          <cell r="T363">
            <v>0</v>
          </cell>
          <cell r="U363">
            <v>6.8390233744010942</v>
          </cell>
          <cell r="V363">
            <v>2.8938339389945944</v>
          </cell>
          <cell r="W363" t="str">
            <v>ความเสี่ยงต่ำ</v>
          </cell>
        </row>
        <row r="364">
          <cell r="A364">
            <v>630034</v>
          </cell>
          <cell r="B364" t="str">
            <v>นาย</v>
          </cell>
          <cell r="C364" t="str">
            <v>เจษฎา</v>
          </cell>
          <cell r="D364" t="str">
            <v>สุทาเทพ</v>
          </cell>
          <cell r="E364" t="str">
            <v>บค.วบก.</v>
          </cell>
          <cell r="F364" t="str">
            <v>Maintenance</v>
          </cell>
          <cell r="G364">
            <v>33.248459958932237</v>
          </cell>
          <cell r="H364" t="str">
            <v>Male</v>
          </cell>
          <cell r="I364" t="str">
            <v>ไม่สูบ</v>
          </cell>
          <cell r="J364">
            <v>123</v>
          </cell>
          <cell r="K364">
            <v>174</v>
          </cell>
          <cell r="L364">
            <v>76.900000000000006</v>
          </cell>
          <cell r="M364">
            <v>25.399656493592285</v>
          </cell>
          <cell r="N364">
            <v>86</v>
          </cell>
          <cell r="O364" t="str">
            <v>ไม่มี</v>
          </cell>
          <cell r="P364">
            <v>89</v>
          </cell>
          <cell r="Q364">
            <v>174</v>
          </cell>
          <cell r="R364">
            <v>1</v>
          </cell>
          <cell r="S364">
            <v>0</v>
          </cell>
          <cell r="T364">
            <v>0</v>
          </cell>
          <cell r="U364">
            <v>6.047911478439425</v>
          </cell>
          <cell r="V364">
            <v>1.3224263823329085</v>
          </cell>
          <cell r="W364" t="str">
            <v>ความเสี่ยงต่ำ</v>
          </cell>
        </row>
        <row r="365">
          <cell r="A365">
            <v>580103</v>
          </cell>
          <cell r="B365" t="str">
            <v>นางสาว</v>
          </cell>
          <cell r="C365" t="str">
            <v>นนทิญา</v>
          </cell>
          <cell r="D365" t="str">
            <v>ช่อทอง</v>
          </cell>
          <cell r="E365" t="str">
            <v>กช.บรก.</v>
          </cell>
          <cell r="F365" t="str">
            <v>Support</v>
          </cell>
          <cell r="G365">
            <v>36.654346338124569</v>
          </cell>
          <cell r="H365" t="str">
            <v>Female</v>
          </cell>
          <cell r="I365" t="str">
            <v>ไม่สูบ</v>
          </cell>
          <cell r="J365">
            <v>148</v>
          </cell>
          <cell r="K365">
            <v>150</v>
          </cell>
          <cell r="L365">
            <v>79.2</v>
          </cell>
          <cell r="M365">
            <v>35.200000000000003</v>
          </cell>
          <cell r="N365">
            <v>102</v>
          </cell>
          <cell r="O365" t="str">
            <v>ไวรัสตับอักเสบบี</v>
          </cell>
          <cell r="P365">
            <v>96</v>
          </cell>
          <cell r="Q365">
            <v>213</v>
          </cell>
          <cell r="R365">
            <v>0</v>
          </cell>
          <cell r="S365">
            <v>0</v>
          </cell>
          <cell r="T365">
            <v>0</v>
          </cell>
          <cell r="U365">
            <v>6.5353051608487336</v>
          </cell>
          <cell r="V365">
            <v>2.1440434739493197</v>
          </cell>
          <cell r="W365" t="str">
            <v>ความเสี่ยงต่ำ</v>
          </cell>
        </row>
        <row r="366">
          <cell r="A366">
            <v>550107</v>
          </cell>
          <cell r="B366" t="str">
            <v>นาย</v>
          </cell>
          <cell r="C366" t="str">
            <v>เรวัติ</v>
          </cell>
          <cell r="D366" t="str">
            <v>สมบูรณ์มาก</v>
          </cell>
          <cell r="E366" t="str">
            <v>บง.วบก.</v>
          </cell>
          <cell r="F366" t="str">
            <v>Maintenance</v>
          </cell>
          <cell r="G366">
            <v>38.7460643394935</v>
          </cell>
          <cell r="H366" t="str">
            <v>Male</v>
          </cell>
          <cell r="I366" t="str">
            <v>สูบ 2 มวนต่อวัน</v>
          </cell>
          <cell r="J366">
            <v>146</v>
          </cell>
          <cell r="K366">
            <v>174</v>
          </cell>
          <cell r="L366">
            <v>89.6</v>
          </cell>
          <cell r="M366">
            <v>29.594398203197251</v>
          </cell>
          <cell r="N366">
            <v>96</v>
          </cell>
          <cell r="O366" t="str">
            <v>ไม่มี</v>
          </cell>
          <cell r="P366">
            <v>130</v>
          </cell>
          <cell r="Q366">
            <v>229</v>
          </cell>
          <cell r="R366">
            <v>1</v>
          </cell>
          <cell r="S366">
            <v>1</v>
          </cell>
          <cell r="T366">
            <v>0</v>
          </cell>
          <cell r="U366">
            <v>7.5128604449007526</v>
          </cell>
          <cell r="V366">
            <v>5.5979508445507475</v>
          </cell>
          <cell r="W366" t="str">
            <v>ความเสี่ยงต่ำ</v>
          </cell>
        </row>
        <row r="367">
          <cell r="A367">
            <v>580170</v>
          </cell>
          <cell r="B367" t="str">
            <v>นางสาว</v>
          </cell>
          <cell r="C367" t="str">
            <v>สกาวรัตน์</v>
          </cell>
          <cell r="D367" t="str">
            <v>สัมพัฒนวรชัย</v>
          </cell>
          <cell r="E367" t="str">
            <v>กผ.ทผก.</v>
          </cell>
          <cell r="F367" t="str">
            <v>Support</v>
          </cell>
          <cell r="G367">
            <v>35.701574264202598</v>
          </cell>
          <cell r="H367" t="str">
            <v>Female</v>
          </cell>
          <cell r="I367" t="str">
            <v>ไม่สูบ</v>
          </cell>
          <cell r="J367">
            <v>108</v>
          </cell>
          <cell r="K367">
            <v>165.5</v>
          </cell>
          <cell r="L367">
            <v>63</v>
          </cell>
          <cell r="M367">
            <v>23.000885351539324</v>
          </cell>
          <cell r="N367">
            <v>82</v>
          </cell>
          <cell r="O367" t="str">
            <v>ไม่มี</v>
          </cell>
          <cell r="P367">
            <v>86</v>
          </cell>
          <cell r="Q367">
            <v>244</v>
          </cell>
          <cell r="R367">
            <v>0</v>
          </cell>
          <cell r="S367">
            <v>0</v>
          </cell>
          <cell r="T367">
            <v>0</v>
          </cell>
          <cell r="U367">
            <v>5.6894598220396979</v>
          </cell>
          <cell r="V367">
            <v>0.92590645119435822</v>
          </cell>
          <cell r="W367" t="str">
            <v>ความเสี่ยงต่ำ</v>
          </cell>
        </row>
        <row r="368">
          <cell r="A368">
            <v>660050</v>
          </cell>
          <cell r="B368" t="str">
            <v>นาย</v>
          </cell>
          <cell r="C368" t="str">
            <v>กรกฤช</v>
          </cell>
          <cell r="D368" t="str">
            <v>วงษ์บัณฑิต</v>
          </cell>
          <cell r="E368" t="str">
            <v>บง.วบก.</v>
          </cell>
          <cell r="F368" t="str">
            <v>Maintenance</v>
          </cell>
          <cell r="G368">
            <v>27.991786447638599</v>
          </cell>
          <cell r="H368" t="str">
            <v>Male</v>
          </cell>
          <cell r="I368" t="str">
            <v>ไม่สูบ</v>
          </cell>
          <cell r="J368">
            <v>128</v>
          </cell>
          <cell r="K368">
            <v>184</v>
          </cell>
          <cell r="L368">
            <v>93.6</v>
          </cell>
          <cell r="M368">
            <v>27.646502835538751</v>
          </cell>
          <cell r="N368">
            <v>99</v>
          </cell>
          <cell r="O368" t="str">
            <v>ไม่มี</v>
          </cell>
          <cell r="P368">
            <v>87</v>
          </cell>
          <cell r="Q368">
            <v>229</v>
          </cell>
          <cell r="R368">
            <v>1</v>
          </cell>
          <cell r="S368">
            <v>0</v>
          </cell>
          <cell r="T368">
            <v>0</v>
          </cell>
          <cell r="U368">
            <v>5.8385578850102666</v>
          </cell>
          <cell r="V368">
            <v>1.0739778867893457</v>
          </cell>
          <cell r="W368" t="str">
            <v>ความเสี่ยงต่ำ</v>
          </cell>
        </row>
        <row r="369">
          <cell r="A369">
            <v>490015</v>
          </cell>
          <cell r="B369" t="str">
            <v>นาย</v>
          </cell>
          <cell r="C369" t="str">
            <v>กลศ</v>
          </cell>
          <cell r="D369" t="str">
            <v>บุณยะวรรธนะ</v>
          </cell>
          <cell r="E369" t="str">
            <v>วก.วบก.</v>
          </cell>
          <cell r="F369" t="str">
            <v>Maintenance</v>
          </cell>
          <cell r="G369">
            <v>48.747433264887064</v>
          </cell>
          <cell r="H369" t="str">
            <v>Male</v>
          </cell>
          <cell r="I369" t="str">
            <v>ไม่สูบ</v>
          </cell>
          <cell r="J369">
            <v>128</v>
          </cell>
          <cell r="K369">
            <v>172.5</v>
          </cell>
          <cell r="L369">
            <v>67.900000000000006</v>
          </cell>
          <cell r="M369">
            <v>22.818735559756352</v>
          </cell>
          <cell r="N369">
            <v>80</v>
          </cell>
          <cell r="O369" t="str">
            <v>ไขมันในเลือดสูง</v>
          </cell>
          <cell r="P369">
            <v>78</v>
          </cell>
          <cell r="Q369">
            <v>177</v>
          </cell>
          <cell r="R369">
            <v>1</v>
          </cell>
          <cell r="S369">
            <v>0</v>
          </cell>
          <cell r="T369">
            <v>0</v>
          </cell>
          <cell r="U369">
            <v>7.426752464065709</v>
          </cell>
          <cell r="V369">
            <v>5.1482003137357069</v>
          </cell>
          <cell r="W369" t="str">
            <v>ความเสี่ยงต่ำ</v>
          </cell>
        </row>
        <row r="370">
          <cell r="A370">
            <v>400137</v>
          </cell>
          <cell r="B370" t="str">
            <v>นาย</v>
          </cell>
          <cell r="C370" t="str">
            <v>วีระศักดิ์</v>
          </cell>
          <cell r="D370" t="str">
            <v>หาญห้าว</v>
          </cell>
          <cell r="E370" t="str">
            <v>บผ.สยก.</v>
          </cell>
          <cell r="F370" t="str">
            <v>Operation</v>
          </cell>
          <cell r="G370">
            <v>49.557837097878156</v>
          </cell>
          <cell r="H370" t="str">
            <v>Male</v>
          </cell>
          <cell r="I370" t="str">
            <v>ไม่สูบ</v>
          </cell>
          <cell r="J370">
            <v>126</v>
          </cell>
          <cell r="K370">
            <v>164.5</v>
          </cell>
          <cell r="L370">
            <v>69.7</v>
          </cell>
          <cell r="M370">
            <v>25.757337792518545</v>
          </cell>
          <cell r="N370">
            <v>95</v>
          </cell>
          <cell r="O370" t="str">
            <v>โรคความดันโลหิตสูง</v>
          </cell>
          <cell r="P370">
            <v>83</v>
          </cell>
          <cell r="Q370">
            <v>184</v>
          </cell>
          <cell r="R370">
            <v>1</v>
          </cell>
          <cell r="S370">
            <v>0</v>
          </cell>
          <cell r="T370">
            <v>0</v>
          </cell>
          <cell r="U370">
            <v>7.4662278097193697</v>
          </cell>
          <cell r="V370">
            <v>5.3498472971181261</v>
          </cell>
          <cell r="W370" t="str">
            <v>ความเสี่ยงต่ำ</v>
          </cell>
        </row>
        <row r="371">
          <cell r="A371">
            <v>480245</v>
          </cell>
          <cell r="B371" t="str">
            <v>นาย</v>
          </cell>
          <cell r="C371" t="str">
            <v>ทนงศักดิ์</v>
          </cell>
          <cell r="D371" t="str">
            <v>โอชะกุล</v>
          </cell>
          <cell r="E371" t="str">
            <v>บค.วบก.</v>
          </cell>
          <cell r="F371" t="str">
            <v>Maintenance</v>
          </cell>
          <cell r="G371">
            <v>45.623545516769333</v>
          </cell>
          <cell r="H371" t="str">
            <v>Male</v>
          </cell>
          <cell r="I371" t="str">
            <v>สูบ 10 มวนต่อวัน</v>
          </cell>
          <cell r="J371">
            <v>141</v>
          </cell>
          <cell r="K371">
            <v>176.5</v>
          </cell>
          <cell r="L371">
            <v>76.3</v>
          </cell>
          <cell r="M371">
            <v>24.49261289312971</v>
          </cell>
          <cell r="N371">
            <v>90</v>
          </cell>
          <cell r="O371" t="str">
            <v>ไม่มี</v>
          </cell>
          <cell r="P371">
            <v>90</v>
          </cell>
          <cell r="Q371">
            <v>210</v>
          </cell>
          <cell r="R371">
            <v>1</v>
          </cell>
          <cell r="S371">
            <v>1</v>
          </cell>
          <cell r="T371">
            <v>0</v>
          </cell>
          <cell r="U371">
            <v>7.9311647296372341</v>
          </cell>
          <cell r="V371">
            <v>8.380651563469776</v>
          </cell>
          <cell r="W371" t="str">
            <v>ความเสี่ยงต่ำ</v>
          </cell>
        </row>
        <row r="372">
          <cell r="A372">
            <v>540243</v>
          </cell>
          <cell r="B372" t="str">
            <v>นาย</v>
          </cell>
          <cell r="C372" t="str">
            <v>ณัฐพล</v>
          </cell>
          <cell r="D372" t="str">
            <v>กล้าเกิดผล</v>
          </cell>
          <cell r="E372" t="str">
            <v>ผ.ปก.D ปก.</v>
          </cell>
          <cell r="F372" t="str">
            <v>Operation</v>
          </cell>
          <cell r="G372">
            <v>34.069815195071868</v>
          </cell>
          <cell r="H372" t="str">
            <v>Male</v>
          </cell>
          <cell r="I372" t="str">
            <v>ไม่สูบ</v>
          </cell>
          <cell r="J372">
            <v>123</v>
          </cell>
          <cell r="K372">
            <v>180.5</v>
          </cell>
          <cell r="L372">
            <v>97.4</v>
          </cell>
          <cell r="M372">
            <v>29.89541209782</v>
          </cell>
          <cell r="N372">
            <v>104</v>
          </cell>
          <cell r="O372" t="str">
            <v>ไม่มี</v>
          </cell>
          <cell r="P372">
            <v>87</v>
          </cell>
          <cell r="Q372">
            <v>139</v>
          </cell>
          <cell r="R372">
            <v>1</v>
          </cell>
          <cell r="S372">
            <v>0</v>
          </cell>
          <cell r="T372">
            <v>0</v>
          </cell>
          <cell r="U372">
            <v>6.0409229774127304</v>
          </cell>
          <cell r="V372">
            <v>1.3132775631532145</v>
          </cell>
          <cell r="W372" t="str">
            <v>ความเสี่ยงต่ำ</v>
          </cell>
        </row>
        <row r="373">
          <cell r="A373">
            <v>480187</v>
          </cell>
          <cell r="B373" t="str">
            <v>นาย</v>
          </cell>
          <cell r="C373" t="str">
            <v>สัญญา</v>
          </cell>
          <cell r="D373" t="str">
            <v>ฤกษ์ดำเนินกิจ</v>
          </cell>
          <cell r="E373" t="str">
            <v>คผ.A ปล.</v>
          </cell>
          <cell r="F373" t="str">
            <v>Operation</v>
          </cell>
          <cell r="G373">
            <v>43.679671457905542</v>
          </cell>
          <cell r="H373" t="str">
            <v>Male</v>
          </cell>
          <cell r="I373" t="str">
            <v>สูบ 1 มวนต่อวัน</v>
          </cell>
          <cell r="J373">
            <v>114</v>
          </cell>
          <cell r="K373">
            <v>168.5</v>
          </cell>
          <cell r="L373">
            <v>65.099999999999994</v>
          </cell>
          <cell r="M373">
            <v>22.928792188009052</v>
          </cell>
          <cell r="N373">
            <v>87</v>
          </cell>
          <cell r="O373" t="str">
            <v>โรคภูมิแพ้ โรคความดันโลหิตสูง</v>
          </cell>
          <cell r="P373">
            <v>88</v>
          </cell>
          <cell r="Q373">
            <v>240</v>
          </cell>
          <cell r="R373">
            <v>1</v>
          </cell>
          <cell r="S373">
            <v>1</v>
          </cell>
          <cell r="T373">
            <v>0</v>
          </cell>
          <cell r="U373">
            <v>7.2730175154004106</v>
          </cell>
          <cell r="V373">
            <v>4.4310977192772665</v>
          </cell>
          <cell r="W373" t="str">
            <v>ความเสี่ยงต่ำ</v>
          </cell>
        </row>
        <row r="374">
          <cell r="A374">
            <v>520159</v>
          </cell>
          <cell r="B374" t="str">
            <v>นางสาว</v>
          </cell>
          <cell r="C374" t="str">
            <v>ธัญญพัทธ์</v>
          </cell>
          <cell r="D374" t="str">
            <v>วงศ์ศิริขจร</v>
          </cell>
          <cell r="E374" t="str">
            <v>สยก.</v>
          </cell>
          <cell r="F374" t="str">
            <v>Operation</v>
          </cell>
          <cell r="G374">
            <v>41.426420260095817</v>
          </cell>
          <cell r="H374" t="str">
            <v>Female</v>
          </cell>
          <cell r="I374" t="str">
            <v>ไม่สูบ</v>
          </cell>
          <cell r="J374">
            <v>119</v>
          </cell>
          <cell r="K374">
            <v>162</v>
          </cell>
          <cell r="L374">
            <v>53.2</v>
          </cell>
          <cell r="M374">
            <v>20.271300106691051</v>
          </cell>
          <cell r="N374">
            <v>74</v>
          </cell>
          <cell r="O374" t="str">
            <v>โรคภูมิแพ้</v>
          </cell>
          <cell r="P374">
            <v>86</v>
          </cell>
          <cell r="Q374">
            <v>212</v>
          </cell>
          <cell r="R374">
            <v>0</v>
          </cell>
          <cell r="S374">
            <v>0</v>
          </cell>
          <cell r="T374">
            <v>0</v>
          </cell>
          <cell r="U374">
            <v>6.3193239698836408</v>
          </cell>
          <cell r="V374">
            <v>1.7311925547620288</v>
          </cell>
          <cell r="W374" t="str">
            <v>ความเสี่ยงต่ำ</v>
          </cell>
        </row>
        <row r="375">
          <cell r="A375">
            <v>480220</v>
          </cell>
          <cell r="B375" t="str">
            <v>นาย</v>
          </cell>
          <cell r="C375" t="str">
            <v>วิจิตรจินดา</v>
          </cell>
          <cell r="D375" t="str">
            <v>คงนาค</v>
          </cell>
          <cell r="E375" t="str">
            <v>ผ.ปก.A ปก.</v>
          </cell>
          <cell r="F375" t="str">
            <v>Operation</v>
          </cell>
          <cell r="G375">
            <v>42.5242984257358</v>
          </cell>
          <cell r="H375" t="str">
            <v>Male</v>
          </cell>
          <cell r="I375" t="str">
            <v>ไม่สูบ</v>
          </cell>
          <cell r="J375">
            <v>132</v>
          </cell>
          <cell r="K375">
            <v>167</v>
          </cell>
          <cell r="L375">
            <v>94.8</v>
          </cell>
          <cell r="M375">
            <v>33.991896446627699</v>
          </cell>
          <cell r="N375">
            <v>110</v>
          </cell>
          <cell r="O375" t="str">
            <v>ไม่มี</v>
          </cell>
          <cell r="P375">
            <v>81</v>
          </cell>
          <cell r="Q375">
            <v>221</v>
          </cell>
          <cell r="R375">
            <v>1</v>
          </cell>
          <cell r="S375">
            <v>0</v>
          </cell>
          <cell r="T375">
            <v>0</v>
          </cell>
          <cell r="U375">
            <v>7.0941533401779608</v>
          </cell>
          <cell r="V375">
            <v>3.719052456083316</v>
          </cell>
          <cell r="W375" t="str">
            <v>ความเสี่ยงต่ำ</v>
          </cell>
        </row>
        <row r="376">
          <cell r="A376">
            <v>570056</v>
          </cell>
          <cell r="B376" t="str">
            <v>นางสาว</v>
          </cell>
          <cell r="C376" t="str">
            <v>ณัฎฐิกา</v>
          </cell>
          <cell r="D376" t="str">
            <v>รัฐกุลพิสุทธิ์</v>
          </cell>
          <cell r="E376" t="str">
            <v>วป.วบก.</v>
          </cell>
          <cell r="F376" t="str">
            <v>Maintenance</v>
          </cell>
          <cell r="G376">
            <v>37.166324435318259</v>
          </cell>
          <cell r="H376" t="str">
            <v>Female</v>
          </cell>
          <cell r="I376" t="str">
            <v>ไม่สูบ</v>
          </cell>
          <cell r="J376">
            <v>107</v>
          </cell>
          <cell r="K376">
            <v>160</v>
          </cell>
          <cell r="L376">
            <v>50.3</v>
          </cell>
          <cell r="M376">
            <v>19.6484375</v>
          </cell>
          <cell r="N376">
            <v>65</v>
          </cell>
          <cell r="O376" t="str">
            <v>ไม่มี</v>
          </cell>
          <cell r="P376">
            <v>83</v>
          </cell>
          <cell r="Q376">
            <v>161</v>
          </cell>
          <cell r="R376">
            <v>0</v>
          </cell>
          <cell r="S376">
            <v>0</v>
          </cell>
          <cell r="T376">
            <v>0</v>
          </cell>
          <cell r="U376">
            <v>5.612520328542093</v>
          </cell>
          <cell r="V376">
            <v>0.85763416734476738</v>
          </cell>
          <cell r="W376" t="str">
            <v>ความเสี่ยงต่ำ</v>
          </cell>
        </row>
        <row r="377">
          <cell r="A377">
            <v>580298</v>
          </cell>
          <cell r="B377" t="str">
            <v>นาย</v>
          </cell>
          <cell r="C377" t="str">
            <v>ณัฐพงศ์</v>
          </cell>
          <cell r="D377" t="str">
            <v>แก้วทับทิม</v>
          </cell>
          <cell r="E377" t="str">
            <v>คผ.D ปต.</v>
          </cell>
          <cell r="F377" t="str">
            <v>Operation</v>
          </cell>
          <cell r="G377">
            <v>32.279260780287473</v>
          </cell>
          <cell r="H377" t="str">
            <v>Male</v>
          </cell>
          <cell r="I377" t="str">
            <v>สูบ 3 มวนต่อวัน</v>
          </cell>
          <cell r="J377">
            <v>134</v>
          </cell>
          <cell r="K377">
            <v>171</v>
          </cell>
          <cell r="L377">
            <v>112</v>
          </cell>
          <cell r="M377">
            <v>38.302383639410415</v>
          </cell>
          <cell r="N377">
            <v>114</v>
          </cell>
          <cell r="O377" t="str">
            <v>ไม่มี</v>
          </cell>
          <cell r="P377">
            <v>82</v>
          </cell>
          <cell r="Q377">
            <v>233</v>
          </cell>
          <cell r="R377">
            <v>1</v>
          </cell>
          <cell r="S377">
            <v>1</v>
          </cell>
          <cell r="T377">
            <v>0</v>
          </cell>
          <cell r="U377">
            <v>6.7420819096509241</v>
          </cell>
          <cell r="V377">
            <v>2.6300187922649432</v>
          </cell>
          <cell r="W377" t="str">
            <v>ความเสี่ยงต่ำ</v>
          </cell>
        </row>
        <row r="378">
          <cell r="A378">
            <v>660083</v>
          </cell>
          <cell r="B378" t="str">
            <v>นางสาว</v>
          </cell>
          <cell r="C378" t="str">
            <v>ศรนันท์</v>
          </cell>
          <cell r="D378" t="str">
            <v>วุฒิการโกศล</v>
          </cell>
          <cell r="E378" t="str">
            <v>ปภ.ผยก.</v>
          </cell>
          <cell r="F378" t="str">
            <v>Support</v>
          </cell>
          <cell r="G378">
            <v>28.11225188227241</v>
          </cell>
          <cell r="H378" t="str">
            <v>Female</v>
          </cell>
          <cell r="I378" t="str">
            <v>ไม่สูบ</v>
          </cell>
          <cell r="J378">
            <v>108</v>
          </cell>
          <cell r="K378">
            <v>158</v>
          </cell>
          <cell r="L378">
            <v>42.6</v>
          </cell>
          <cell r="M378">
            <v>17.064572985098543</v>
          </cell>
          <cell r="N378">
            <v>69</v>
          </cell>
          <cell r="O378" t="str">
            <v>ไม่มี</v>
          </cell>
          <cell r="P378">
            <v>92</v>
          </cell>
          <cell r="Q378">
            <v>258</v>
          </cell>
          <cell r="R378">
            <v>0</v>
          </cell>
          <cell r="S378">
            <v>0</v>
          </cell>
          <cell r="T378">
            <v>0</v>
          </cell>
          <cell r="U378">
            <v>5.0981055715263519</v>
          </cell>
          <cell r="V378">
            <v>0.51362468326441313</v>
          </cell>
          <cell r="W378" t="str">
            <v>ความเสี่ยงต่ำ</v>
          </cell>
        </row>
        <row r="379">
          <cell r="A379">
            <v>570116</v>
          </cell>
          <cell r="B379" t="str">
            <v>นาย</v>
          </cell>
          <cell r="C379" t="str">
            <v>สารัช</v>
          </cell>
          <cell r="D379" t="str">
            <v>ศุภจิตตากร</v>
          </cell>
          <cell r="E379" t="str">
            <v>บง.วบก.</v>
          </cell>
          <cell r="F379" t="str">
            <v>Maintenance</v>
          </cell>
          <cell r="G379">
            <v>33.368925393566052</v>
          </cell>
          <cell r="H379" t="str">
            <v>Male</v>
          </cell>
          <cell r="I379" t="str">
            <v>ไม่สูบ</v>
          </cell>
          <cell r="J379">
            <v>114</v>
          </cell>
          <cell r="K379">
            <v>180.5</v>
          </cell>
          <cell r="L379">
            <v>103.9</v>
          </cell>
          <cell r="M379">
            <v>31.890485800446587</v>
          </cell>
          <cell r="N379">
            <v>106</v>
          </cell>
          <cell r="O379" t="str">
            <v>ไม่มี</v>
          </cell>
          <cell r="P379">
            <v>86</v>
          </cell>
          <cell r="Q379">
            <v>165</v>
          </cell>
          <cell r="R379">
            <v>1</v>
          </cell>
          <cell r="S379">
            <v>0</v>
          </cell>
          <cell r="T379">
            <v>0</v>
          </cell>
          <cell r="U379">
            <v>5.8511291649555108</v>
          </cell>
          <cell r="V379">
            <v>1.0874902408618103</v>
          </cell>
          <cell r="W379" t="str">
            <v>ความเสี่ยงต่ำ</v>
          </cell>
        </row>
        <row r="380">
          <cell r="A380">
            <v>520093</v>
          </cell>
          <cell r="B380" t="str">
            <v>นาย</v>
          </cell>
          <cell r="C380" t="str">
            <v>คฑาวุธ</v>
          </cell>
          <cell r="D380" t="str">
            <v>สารจิตร</v>
          </cell>
          <cell r="E380" t="str">
            <v>ผ.ปก.D ปอ.</v>
          </cell>
          <cell r="F380" t="str">
            <v>Operation</v>
          </cell>
          <cell r="G380">
            <v>41.081451060917182</v>
          </cell>
          <cell r="H380" t="str">
            <v>Male</v>
          </cell>
          <cell r="I380" t="str">
            <v>ไม่สูบ</v>
          </cell>
          <cell r="J380">
            <v>113</v>
          </cell>
          <cell r="K380">
            <v>178.5</v>
          </cell>
          <cell r="L380">
            <v>65</v>
          </cell>
          <cell r="M380">
            <v>20.400316989540915</v>
          </cell>
          <cell r="N380">
            <v>75</v>
          </cell>
          <cell r="O380" t="str">
            <v>ไม่มี</v>
          </cell>
          <cell r="P380">
            <v>87</v>
          </cell>
          <cell r="Q380">
            <v>185</v>
          </cell>
          <cell r="R380">
            <v>1</v>
          </cell>
          <cell r="S380">
            <v>0</v>
          </cell>
          <cell r="T380">
            <v>0</v>
          </cell>
          <cell r="U380">
            <v>6.5038051403148529</v>
          </cell>
          <cell r="V380">
            <v>2.0782544689932014</v>
          </cell>
          <cell r="W380" t="str">
            <v>ความเสี่ยงต่ำ</v>
          </cell>
        </row>
        <row r="381">
          <cell r="A381">
            <v>550142</v>
          </cell>
          <cell r="B381" t="str">
            <v>นาย</v>
          </cell>
          <cell r="C381" t="str">
            <v>ศักดิ์สงกรานต์</v>
          </cell>
          <cell r="D381" t="str">
            <v>บุญเพ็ง</v>
          </cell>
          <cell r="E381" t="str">
            <v>ผ.ปก.D คธ.</v>
          </cell>
          <cell r="F381" t="str">
            <v>Operation</v>
          </cell>
          <cell r="G381">
            <v>43.299110198494184</v>
          </cell>
          <cell r="H381" t="str">
            <v>Male</v>
          </cell>
          <cell r="I381" t="str">
            <v>ไม่สูบ</v>
          </cell>
          <cell r="J381">
            <v>129</v>
          </cell>
          <cell r="K381">
            <v>165.5</v>
          </cell>
          <cell r="L381">
            <v>68.2</v>
          </cell>
          <cell r="M381">
            <v>24.899371126587013</v>
          </cell>
          <cell r="N381">
            <v>83</v>
          </cell>
          <cell r="O381" t="str">
            <v>ไม่มี</v>
          </cell>
          <cell r="P381">
            <v>87</v>
          </cell>
          <cell r="Q381">
            <v>220</v>
          </cell>
          <cell r="R381">
            <v>1</v>
          </cell>
          <cell r="S381">
            <v>0</v>
          </cell>
          <cell r="T381">
            <v>0</v>
          </cell>
          <cell r="U381">
            <v>7.0929161875427793</v>
          </cell>
          <cell r="V381">
            <v>3.7145407444584166</v>
          </cell>
          <cell r="W381" t="str">
            <v>ความเสี่ยงต่ำ</v>
          </cell>
        </row>
        <row r="382">
          <cell r="A382">
            <v>470037</v>
          </cell>
          <cell r="B382" t="str">
            <v>นาย</v>
          </cell>
          <cell r="C382" t="str">
            <v>ชยกร</v>
          </cell>
          <cell r="D382" t="str">
            <v>จูบุญส่ง</v>
          </cell>
          <cell r="E382" t="str">
            <v>ผ.ปก.C คธ.</v>
          </cell>
          <cell r="F382" t="str">
            <v>Operation</v>
          </cell>
          <cell r="G382">
            <v>44.013689253935659</v>
          </cell>
          <cell r="H382" t="str">
            <v>Male</v>
          </cell>
          <cell r="I382" t="str">
            <v>ไม่สูบ</v>
          </cell>
          <cell r="J382">
            <v>141</v>
          </cell>
          <cell r="K382">
            <v>161</v>
          </cell>
          <cell r="L382">
            <v>69.599999999999994</v>
          </cell>
          <cell r="M382">
            <v>26.850815940743029</v>
          </cell>
          <cell r="N382">
            <v>88</v>
          </cell>
          <cell r="O382" t="str">
            <v>ไม่มี</v>
          </cell>
          <cell r="P382">
            <v>78</v>
          </cell>
          <cell r="Q382">
            <v>218</v>
          </cell>
          <cell r="R382">
            <v>1</v>
          </cell>
          <cell r="S382">
            <v>0</v>
          </cell>
          <cell r="T382">
            <v>0</v>
          </cell>
          <cell r="U382">
            <v>7.3972301916495544</v>
          </cell>
          <cell r="V382">
            <v>5.0022461557024389</v>
          </cell>
          <cell r="W382" t="str">
            <v>ความเสี่ยงต่ำ</v>
          </cell>
        </row>
        <row r="383">
          <cell r="A383">
            <v>510142</v>
          </cell>
          <cell r="B383" t="str">
            <v>นาย</v>
          </cell>
          <cell r="C383" t="str">
            <v>ชัยวัฒน์</v>
          </cell>
          <cell r="D383" t="str">
            <v>เกิดแสง</v>
          </cell>
          <cell r="E383" t="str">
            <v>ผ.ปก.B ปก.</v>
          </cell>
          <cell r="F383" t="str">
            <v>Operation</v>
          </cell>
          <cell r="G383">
            <v>38.453114305270361</v>
          </cell>
          <cell r="H383" t="str">
            <v>Male</v>
          </cell>
          <cell r="I383" t="str">
            <v>ไม่สูบ</v>
          </cell>
          <cell r="J383">
            <v>160</v>
          </cell>
          <cell r="K383">
            <v>166</v>
          </cell>
          <cell r="L383">
            <v>100.7</v>
          </cell>
          <cell r="M383">
            <v>36.543765423138339</v>
          </cell>
          <cell r="N383">
            <v>110</v>
          </cell>
          <cell r="O383" t="str">
            <v>ไม่มี</v>
          </cell>
          <cell r="P383">
            <v>83</v>
          </cell>
          <cell r="Q383">
            <v>281</v>
          </cell>
          <cell r="R383">
            <v>1</v>
          </cell>
          <cell r="S383">
            <v>0</v>
          </cell>
          <cell r="T383">
            <v>0</v>
          </cell>
          <cell r="U383">
            <v>7.4717283436002742</v>
          </cell>
          <cell r="V383">
            <v>5.3785472581702631</v>
          </cell>
          <cell r="W383" t="str">
            <v>ความเสี่ยงต่ำ</v>
          </cell>
        </row>
        <row r="384">
          <cell r="A384">
            <v>660040</v>
          </cell>
          <cell r="B384" t="str">
            <v>นาย</v>
          </cell>
          <cell r="C384" t="str">
            <v>ประจักษ์</v>
          </cell>
          <cell r="D384" t="str">
            <v>เลิศสงคราม</v>
          </cell>
          <cell r="E384" t="str">
            <v>คผ.B ปผ.</v>
          </cell>
          <cell r="F384" t="str">
            <v>Operation</v>
          </cell>
          <cell r="G384">
            <v>29.464750171115675</v>
          </cell>
          <cell r="H384" t="str">
            <v>Male</v>
          </cell>
          <cell r="I384" t="str">
            <v>ไม่สูบ</v>
          </cell>
          <cell r="J384">
            <v>134</v>
          </cell>
          <cell r="K384">
            <v>168</v>
          </cell>
          <cell r="L384">
            <v>64.900000000000006</v>
          </cell>
          <cell r="M384">
            <v>22.994614512471657</v>
          </cell>
          <cell r="N384">
            <v>81</v>
          </cell>
          <cell r="O384" t="str">
            <v>ไขมันในเลือดสูง</v>
          </cell>
          <cell r="P384">
            <v>83</v>
          </cell>
          <cell r="Q384">
            <v>311</v>
          </cell>
          <cell r="R384">
            <v>1</v>
          </cell>
          <cell r="S384">
            <v>0</v>
          </cell>
          <cell r="T384">
            <v>0</v>
          </cell>
          <cell r="U384">
            <v>6.2579705065023958</v>
          </cell>
          <cell r="V384">
            <v>1.6290144482964064</v>
          </cell>
          <cell r="W384" t="str">
            <v>ความเสี่ยงต่ำ</v>
          </cell>
        </row>
        <row r="385">
          <cell r="A385">
            <v>470066</v>
          </cell>
          <cell r="B385" t="str">
            <v>นาย</v>
          </cell>
          <cell r="C385" t="str">
            <v>กฤษฎางค์</v>
          </cell>
          <cell r="D385" t="str">
            <v>เลิศสวัสดิ์</v>
          </cell>
          <cell r="E385" t="str">
            <v>คผ.C ปผ.</v>
          </cell>
          <cell r="F385" t="str">
            <v>Operation</v>
          </cell>
          <cell r="G385">
            <v>43.299110198494184</v>
          </cell>
          <cell r="H385" t="str">
            <v>Male</v>
          </cell>
          <cell r="I385" t="str">
            <v>ไม่สูบ</v>
          </cell>
          <cell r="J385">
            <v>106</v>
          </cell>
          <cell r="K385">
            <v>184.5</v>
          </cell>
          <cell r="L385">
            <v>81</v>
          </cell>
          <cell r="M385">
            <v>23.795359904818561</v>
          </cell>
          <cell r="N385">
            <v>89</v>
          </cell>
          <cell r="O385" t="str">
            <v>ไม่มี</v>
          </cell>
          <cell r="P385">
            <v>89</v>
          </cell>
          <cell r="Q385">
            <v>251</v>
          </cell>
          <cell r="R385">
            <v>1</v>
          </cell>
          <cell r="S385">
            <v>0</v>
          </cell>
          <cell r="T385">
            <v>0</v>
          </cell>
          <cell r="U385">
            <v>6.6793161875427787</v>
          </cell>
          <cell r="V385">
            <v>2.4720122427020153</v>
          </cell>
          <cell r="W385" t="str">
            <v>ความเสี่ยงต่ำ</v>
          </cell>
        </row>
        <row r="386">
          <cell r="A386">
            <v>560156</v>
          </cell>
          <cell r="B386" t="str">
            <v>นางสาว</v>
          </cell>
          <cell r="C386" t="str">
            <v>นวรัตน์</v>
          </cell>
          <cell r="D386" t="str">
            <v>จงมีสุข</v>
          </cell>
          <cell r="E386" t="str">
            <v>ปภ.ผยก.</v>
          </cell>
          <cell r="F386" t="str">
            <v>Support</v>
          </cell>
          <cell r="G386">
            <v>39.318275154004105</v>
          </cell>
          <cell r="H386" t="str">
            <v>Female</v>
          </cell>
          <cell r="I386" t="str">
            <v>ไม่สูบ</v>
          </cell>
          <cell r="J386">
            <v>96</v>
          </cell>
          <cell r="K386">
            <v>148</v>
          </cell>
          <cell r="L386">
            <v>48.1</v>
          </cell>
          <cell r="M386">
            <v>21.95945945945946</v>
          </cell>
          <cell r="N386">
            <v>64</v>
          </cell>
          <cell r="O386" t="str">
            <v>ไม่มี</v>
          </cell>
          <cell r="P386">
            <v>80</v>
          </cell>
          <cell r="Q386">
            <v>209</v>
          </cell>
          <cell r="R386">
            <v>0</v>
          </cell>
          <cell r="S386">
            <v>0</v>
          </cell>
          <cell r="T386">
            <v>0</v>
          </cell>
          <cell r="U386">
            <v>5.6611344558521566</v>
          </cell>
          <cell r="V386">
            <v>0.90016451030907607</v>
          </cell>
          <cell r="W386" t="str">
            <v>ความเสี่ยงต่ำ</v>
          </cell>
        </row>
        <row r="387">
          <cell r="A387">
            <v>600222</v>
          </cell>
          <cell r="B387" t="str">
            <v>นาย</v>
          </cell>
          <cell r="C387" t="str">
            <v>นฤพนธ์</v>
          </cell>
          <cell r="D387" t="str">
            <v>คชสินธิ์</v>
          </cell>
          <cell r="E387" t="str">
            <v>วก.วบก.</v>
          </cell>
          <cell r="F387" t="str">
            <v>Maintenance</v>
          </cell>
          <cell r="G387">
            <v>33.80698151950719</v>
          </cell>
          <cell r="H387" t="str">
            <v>Male</v>
          </cell>
          <cell r="I387" t="str">
            <v>ไม่สูบ</v>
          </cell>
          <cell r="J387">
            <v>108</v>
          </cell>
          <cell r="K387">
            <v>182.5</v>
          </cell>
          <cell r="L387">
            <v>74.8</v>
          </cell>
          <cell r="M387">
            <v>22.458247325952335</v>
          </cell>
          <cell r="N387">
            <v>84</v>
          </cell>
          <cell r="O387" t="str">
            <v>ไม่มี</v>
          </cell>
          <cell r="P387">
            <v>86</v>
          </cell>
          <cell r="Q387">
            <v>212</v>
          </cell>
          <cell r="R387">
            <v>1</v>
          </cell>
          <cell r="S387">
            <v>0</v>
          </cell>
          <cell r="T387">
            <v>0</v>
          </cell>
          <cell r="U387">
            <v>5.8615752977412736</v>
          </cell>
          <cell r="V387">
            <v>1.0988468779616234</v>
          </cell>
          <cell r="W387" t="str">
            <v>ความเสี่ยงต่ำ</v>
          </cell>
        </row>
        <row r="388">
          <cell r="A388">
            <v>540076</v>
          </cell>
          <cell r="B388" t="str">
            <v>นาย</v>
          </cell>
          <cell r="C388" t="str">
            <v>พิศิษฎ์</v>
          </cell>
          <cell r="D388" t="str">
            <v>สรีสุทธิ</v>
          </cell>
          <cell r="E388" t="str">
            <v>อท.บรก.</v>
          </cell>
          <cell r="F388" t="str">
            <v>Support</v>
          </cell>
          <cell r="G388">
            <v>39.041752224503767</v>
          </cell>
          <cell r="H388" t="str">
            <v>Male</v>
          </cell>
          <cell r="I388" t="str">
            <v>ไม่สูบ</v>
          </cell>
          <cell r="J388">
            <v>131</v>
          </cell>
          <cell r="K388">
            <v>177</v>
          </cell>
          <cell r="L388">
            <v>92</v>
          </cell>
          <cell r="M388">
            <v>29.365763350250564</v>
          </cell>
          <cell r="N388">
            <v>89</v>
          </cell>
          <cell r="O388" t="str">
            <v>โรคไทรอยด์</v>
          </cell>
          <cell r="P388">
            <v>87</v>
          </cell>
          <cell r="Q388">
            <v>196</v>
          </cell>
          <cell r="R388">
            <v>1</v>
          </cell>
          <cell r="S388">
            <v>0</v>
          </cell>
          <cell r="T388">
            <v>0</v>
          </cell>
          <cell r="U388">
            <v>6.7353365845311428</v>
          </cell>
          <cell r="V388">
            <v>2.6125711627797199</v>
          </cell>
          <cell r="W388" t="str">
            <v>ความเสี่ยงต่ำ</v>
          </cell>
        </row>
        <row r="389">
          <cell r="A389">
            <v>650128</v>
          </cell>
          <cell r="B389" t="str">
            <v>นาย</v>
          </cell>
          <cell r="C389" t="str">
            <v>วรัท</v>
          </cell>
          <cell r="D389" t="str">
            <v>ตั้งนรารัชชกิจ</v>
          </cell>
          <cell r="E389" t="str">
            <v>บง.วบก.</v>
          </cell>
          <cell r="F389" t="str">
            <v>Maintenance</v>
          </cell>
          <cell r="G389">
            <v>30.592744695414094</v>
          </cell>
          <cell r="H389" t="str">
            <v>Male</v>
          </cell>
          <cell r="I389" t="str">
            <v>ไม่สูบ</v>
          </cell>
          <cell r="J389">
            <v>120</v>
          </cell>
          <cell r="K389">
            <v>165</v>
          </cell>
          <cell r="L389">
            <v>55.4</v>
          </cell>
          <cell r="M389">
            <v>20.348943985307621</v>
          </cell>
          <cell r="N389">
            <v>79</v>
          </cell>
          <cell r="O389" t="str">
            <v>ไม่มี</v>
          </cell>
          <cell r="P389">
            <v>81</v>
          </cell>
          <cell r="Q389">
            <v>192</v>
          </cell>
          <cell r="R389">
            <v>1</v>
          </cell>
          <cell r="S389">
            <v>0</v>
          </cell>
          <cell r="T389">
            <v>0</v>
          </cell>
          <cell r="U389">
            <v>5.8062342984257356</v>
          </cell>
          <cell r="V389">
            <v>1.0399963860293626</v>
          </cell>
          <cell r="W389" t="str">
            <v>ความเสี่ยงต่ำ</v>
          </cell>
        </row>
        <row r="390">
          <cell r="A390">
            <v>560185</v>
          </cell>
          <cell r="B390" t="str">
            <v>นาย</v>
          </cell>
          <cell r="C390" t="str">
            <v>หนึ่ง</v>
          </cell>
          <cell r="D390" t="str">
            <v>เสือมัจฉา</v>
          </cell>
          <cell r="E390" t="str">
            <v>คผ.A ปต.</v>
          </cell>
          <cell r="F390" t="str">
            <v>Operation</v>
          </cell>
          <cell r="G390">
            <v>35.874058863791916</v>
          </cell>
          <cell r="H390" t="str">
            <v>Male</v>
          </cell>
          <cell r="I390" t="str">
            <v>ไม่สูบ</v>
          </cell>
          <cell r="J390">
            <v>117</v>
          </cell>
          <cell r="K390">
            <v>175</v>
          </cell>
          <cell r="L390">
            <v>73.599999999999994</v>
          </cell>
          <cell r="M390">
            <v>24.03265306122449</v>
          </cell>
          <cell r="N390">
            <v>88</v>
          </cell>
          <cell r="O390" t="str">
            <v>ไม่มี</v>
          </cell>
          <cell r="P390">
            <v>90</v>
          </cell>
          <cell r="Q390">
            <v>269</v>
          </cell>
          <cell r="R390">
            <v>1</v>
          </cell>
          <cell r="S390">
            <v>0</v>
          </cell>
          <cell r="T390">
            <v>0</v>
          </cell>
          <cell r="U390">
            <v>6.3391242368240928</v>
          </cell>
          <cell r="V390">
            <v>1.76550483506136</v>
          </cell>
          <cell r="W390" t="str">
            <v>ความเสี่ยงต่ำ</v>
          </cell>
        </row>
        <row r="391">
          <cell r="A391">
            <v>620067</v>
          </cell>
          <cell r="B391" t="str">
            <v>นาย</v>
          </cell>
          <cell r="C391" t="str">
            <v>ประสพโชค</v>
          </cell>
          <cell r="D391" t="str">
            <v>บุญทวี</v>
          </cell>
          <cell r="E391" t="str">
            <v>บง.วบก.</v>
          </cell>
          <cell r="F391" t="str">
            <v>Maintenance</v>
          </cell>
          <cell r="G391">
            <v>31.715263518138258</v>
          </cell>
          <cell r="H391" t="str">
            <v>Male</v>
          </cell>
          <cell r="I391" t="str">
            <v>ไม่สูบ</v>
          </cell>
          <cell r="J391">
            <v>129</v>
          </cell>
          <cell r="K391">
            <v>187</v>
          </cell>
          <cell r="L391">
            <v>89.5</v>
          </cell>
          <cell r="M391">
            <v>25.594097629328836</v>
          </cell>
          <cell r="N391">
            <v>89</v>
          </cell>
          <cell r="O391" t="str">
            <v>ไม่มี</v>
          </cell>
          <cell r="P391">
            <v>93</v>
          </cell>
          <cell r="Q391">
            <v>231</v>
          </cell>
          <cell r="R391">
            <v>1</v>
          </cell>
          <cell r="S391">
            <v>0</v>
          </cell>
          <cell r="T391">
            <v>0</v>
          </cell>
          <cell r="U391">
            <v>6.1683300136892543</v>
          </cell>
          <cell r="V391">
            <v>1.4903887205257038</v>
          </cell>
          <cell r="W391" t="str">
            <v>ความเสี่ยงต่ำ</v>
          </cell>
        </row>
        <row r="392">
          <cell r="A392">
            <v>500157</v>
          </cell>
          <cell r="B392" t="str">
            <v>นาย</v>
          </cell>
          <cell r="C392" t="str">
            <v>เอกชัย</v>
          </cell>
          <cell r="D392" t="str">
            <v>ทิพย์บรรจง</v>
          </cell>
          <cell r="E392" t="str">
            <v>คผ.A ปผ.</v>
          </cell>
          <cell r="F392" t="str">
            <v>Operation</v>
          </cell>
          <cell r="G392">
            <v>39.490759753593423</v>
          </cell>
          <cell r="H392" t="str">
            <v>Male</v>
          </cell>
          <cell r="I392" t="str">
            <v>ไม่สูบ</v>
          </cell>
          <cell r="J392">
            <v>116</v>
          </cell>
          <cell r="K392">
            <v>168.5</v>
          </cell>
          <cell r="L392">
            <v>67.599999999999994</v>
          </cell>
          <cell r="M392">
            <v>23.809314161434902</v>
          </cell>
          <cell r="N392">
            <v>78</v>
          </cell>
          <cell r="O392" t="str">
            <v>โรคภูมิแพ้</v>
          </cell>
          <cell r="P392">
            <v>213</v>
          </cell>
          <cell r="Q392">
            <v>226</v>
          </cell>
          <cell r="R392">
            <v>1</v>
          </cell>
          <cell r="S392">
            <v>0</v>
          </cell>
          <cell r="T392">
            <v>0</v>
          </cell>
          <cell r="U392">
            <v>6.5230788706365495</v>
          </cell>
          <cell r="V392">
            <v>2.1182673024584542</v>
          </cell>
          <cell r="W392" t="str">
            <v>ความเสี่ยงต่ำ</v>
          </cell>
        </row>
        <row r="393">
          <cell r="A393">
            <v>580120</v>
          </cell>
          <cell r="B393" t="str">
            <v>นางสาว</v>
          </cell>
          <cell r="C393" t="str">
            <v>ภิภัสรา</v>
          </cell>
          <cell r="D393" t="str">
            <v>สุขประสงค์</v>
          </cell>
          <cell r="E393" t="str">
            <v>ทน.ทผก.</v>
          </cell>
          <cell r="F393" t="str">
            <v>Support</v>
          </cell>
          <cell r="G393">
            <v>36.780287474332646</v>
          </cell>
          <cell r="H393" t="str">
            <v>Female</v>
          </cell>
          <cell r="I393" t="str">
            <v>ไม่สูบ</v>
          </cell>
          <cell r="J393">
            <v>123</v>
          </cell>
          <cell r="K393">
            <v>165.5</v>
          </cell>
          <cell r="L393">
            <v>63</v>
          </cell>
          <cell r="M393">
            <v>23.000885351539324</v>
          </cell>
          <cell r="N393">
            <v>69</v>
          </cell>
          <cell r="O393" t="str">
            <v>ไม่มี</v>
          </cell>
          <cell r="P393">
            <v>72</v>
          </cell>
          <cell r="Q393">
            <v>179</v>
          </cell>
          <cell r="R393">
            <v>0</v>
          </cell>
          <cell r="S393">
            <v>0</v>
          </cell>
          <cell r="T393">
            <v>0</v>
          </cell>
          <cell r="U393">
            <v>5.9525309240246402</v>
          </cell>
          <cell r="V393">
            <v>1.2028478091174799</v>
          </cell>
          <cell r="W393" t="str">
            <v>ความเสี่ยงต่ำ</v>
          </cell>
        </row>
        <row r="394">
          <cell r="A394">
            <v>550212</v>
          </cell>
          <cell r="B394" t="str">
            <v>นาย</v>
          </cell>
          <cell r="C394" t="str">
            <v>พิสุทธิ์</v>
          </cell>
          <cell r="D394" t="str">
            <v>นิลพาณิชย์</v>
          </cell>
          <cell r="E394" t="str">
            <v>คผ.B ปล.</v>
          </cell>
          <cell r="F394" t="str">
            <v>Operation</v>
          </cell>
          <cell r="G394">
            <v>33.604380561259404</v>
          </cell>
          <cell r="H394" t="str">
            <v>Male</v>
          </cell>
          <cell r="I394" t="str">
            <v>ไม่สูบ</v>
          </cell>
          <cell r="J394">
            <v>110</v>
          </cell>
          <cell r="K394">
            <v>179</v>
          </cell>
          <cell r="L394">
            <v>71.400000000000006</v>
          </cell>
          <cell r="M394">
            <v>22.283948690739987</v>
          </cell>
          <cell r="N394">
            <v>83</v>
          </cell>
          <cell r="O394" t="str">
            <v>ไม่มี</v>
          </cell>
          <cell r="P394">
            <v>87</v>
          </cell>
          <cell r="Q394">
            <v>214</v>
          </cell>
          <cell r="R394">
            <v>1</v>
          </cell>
          <cell r="S394">
            <v>0</v>
          </cell>
          <cell r="T394">
            <v>0</v>
          </cell>
          <cell r="U394">
            <v>5.8909164613278575</v>
          </cell>
          <cell r="V394">
            <v>1.1313802044044641</v>
          </cell>
          <cell r="W394" t="str">
            <v>ความเสี่ยงต่ำ</v>
          </cell>
        </row>
        <row r="395">
          <cell r="A395">
            <v>580073</v>
          </cell>
          <cell r="B395" t="str">
            <v>นาย</v>
          </cell>
          <cell r="C395" t="str">
            <v>จิตกร</v>
          </cell>
          <cell r="D395" t="str">
            <v>นาควิลัย</v>
          </cell>
          <cell r="E395" t="str">
            <v>ผ.ปก.B ปก.</v>
          </cell>
          <cell r="F395" t="str">
            <v>Operation</v>
          </cell>
          <cell r="G395">
            <v>34.910335386721421</v>
          </cell>
          <cell r="H395" t="str">
            <v>Male</v>
          </cell>
          <cell r="I395" t="str">
            <v>ไม่สูบ</v>
          </cell>
          <cell r="J395">
            <v>112</v>
          </cell>
          <cell r="K395">
            <v>166.5</v>
          </cell>
          <cell r="L395">
            <v>65</v>
          </cell>
          <cell r="M395">
            <v>23.44687029371714</v>
          </cell>
          <cell r="N395">
            <v>73</v>
          </cell>
          <cell r="O395" t="str">
            <v>ไม่มี</v>
          </cell>
          <cell r="P395">
            <v>84</v>
          </cell>
          <cell r="Q395">
            <v>232</v>
          </cell>
          <cell r="R395">
            <v>1</v>
          </cell>
          <cell r="S395">
            <v>0</v>
          </cell>
          <cell r="T395">
            <v>0</v>
          </cell>
          <cell r="U395">
            <v>6.0776227446954136</v>
          </cell>
          <cell r="V395">
            <v>1.3620340445396728</v>
          </cell>
          <cell r="W395" t="str">
            <v>ความเสี่ยงต่ำ</v>
          </cell>
        </row>
        <row r="396">
          <cell r="A396">
            <v>500104</v>
          </cell>
          <cell r="B396" t="str">
            <v>นาย</v>
          </cell>
          <cell r="C396" t="str">
            <v>เสรี</v>
          </cell>
          <cell r="D396" t="str">
            <v>สนั่นไหว</v>
          </cell>
          <cell r="E396" t="str">
            <v>คผ.B ปผ.</v>
          </cell>
          <cell r="F396" t="str">
            <v>Operation</v>
          </cell>
          <cell r="G396">
            <v>42.75975359342916</v>
          </cell>
          <cell r="H396" t="str">
            <v>Male</v>
          </cell>
          <cell r="I396" t="str">
            <v>ไม่สูบ</v>
          </cell>
          <cell r="J396">
            <v>110</v>
          </cell>
          <cell r="K396">
            <v>167.5</v>
          </cell>
          <cell r="L396">
            <v>64.8</v>
          </cell>
          <cell r="M396">
            <v>23.096458008465138</v>
          </cell>
          <cell r="N396">
            <v>79</v>
          </cell>
          <cell r="O396" t="str">
            <v>ไขมันในเลือดสูง</v>
          </cell>
          <cell r="P396">
            <v>87</v>
          </cell>
          <cell r="Q396">
            <v>198</v>
          </cell>
          <cell r="R396">
            <v>1</v>
          </cell>
          <cell r="S396">
            <v>0</v>
          </cell>
          <cell r="T396">
            <v>0</v>
          </cell>
          <cell r="U396">
            <v>6.6061806365503086</v>
          </cell>
          <cell r="V396">
            <v>2.299693928055313</v>
          </cell>
          <cell r="W396" t="str">
            <v>ความเสี่ยงต่ำ</v>
          </cell>
        </row>
        <row r="397">
          <cell r="A397">
            <v>550211</v>
          </cell>
          <cell r="B397" t="str">
            <v>นาย</v>
          </cell>
          <cell r="C397" t="str">
            <v>ประวิทย์</v>
          </cell>
          <cell r="D397" t="str">
            <v>สวัสดิ์มาก</v>
          </cell>
          <cell r="E397" t="str">
            <v>คผ.C ปล.</v>
          </cell>
          <cell r="F397" t="str">
            <v>Operation</v>
          </cell>
          <cell r="G397">
            <v>33.908281998631075</v>
          </cell>
          <cell r="H397" t="str">
            <v>Male</v>
          </cell>
          <cell r="I397" t="str">
            <v>ไม่สูบ</v>
          </cell>
          <cell r="J397">
            <v>114</v>
          </cell>
          <cell r="K397">
            <v>168.5</v>
          </cell>
          <cell r="L397">
            <v>87</v>
          </cell>
          <cell r="M397">
            <v>30.642164675219469</v>
          </cell>
          <cell r="N397">
            <v>107</v>
          </cell>
          <cell r="O397" t="str">
            <v>ไม่มี</v>
          </cell>
          <cell r="P397">
            <v>83</v>
          </cell>
          <cell r="Q397">
            <v>191</v>
          </cell>
          <cell r="R397">
            <v>1</v>
          </cell>
          <cell r="S397">
            <v>0</v>
          </cell>
          <cell r="T397">
            <v>0</v>
          </cell>
          <cell r="U397">
            <v>5.9503847159479806</v>
          </cell>
          <cell r="V397">
            <v>1.2002845545289631</v>
          </cell>
          <cell r="W397" t="str">
            <v>ความเสี่ยงต่ำ</v>
          </cell>
        </row>
        <row r="398">
          <cell r="A398">
            <v>490025</v>
          </cell>
          <cell r="B398" t="str">
            <v>นาย</v>
          </cell>
          <cell r="C398" t="str">
            <v>เอกราช</v>
          </cell>
          <cell r="D398" t="str">
            <v>ดีประเสริฐชัยกุล</v>
          </cell>
          <cell r="E398" t="str">
            <v>บค.วบก.</v>
          </cell>
          <cell r="F398" t="str">
            <v>Maintenance</v>
          </cell>
          <cell r="G398">
            <v>42.967830253251194</v>
          </cell>
          <cell r="H398" t="str">
            <v>Male</v>
          </cell>
          <cell r="I398" t="str">
            <v>ไม่สูบ</v>
          </cell>
          <cell r="J398">
            <v>138</v>
          </cell>
          <cell r="K398">
            <v>175.5</v>
          </cell>
          <cell r="L398">
            <v>78</v>
          </cell>
          <cell r="M398">
            <v>25.324469768914213</v>
          </cell>
          <cell r="N398">
            <v>90</v>
          </cell>
          <cell r="O398" t="str">
            <v>โรคภูมิแพ้อากาศ</v>
          </cell>
          <cell r="P398">
            <v>267</v>
          </cell>
          <cell r="Q398">
            <v>217</v>
          </cell>
          <cell r="R398">
            <v>1</v>
          </cell>
          <cell r="S398">
            <v>0</v>
          </cell>
          <cell r="T398">
            <v>0</v>
          </cell>
          <cell r="U398">
            <v>7.2470075496235458</v>
          </cell>
          <cell r="V398">
            <v>4.3198248740759499</v>
          </cell>
          <cell r="W398" t="str">
            <v>ความเสี่ยงต่ำ</v>
          </cell>
        </row>
        <row r="399">
          <cell r="A399">
            <v>650082</v>
          </cell>
          <cell r="B399" t="str">
            <v>นาย</v>
          </cell>
          <cell r="C399" t="str">
            <v>พัชรพล</v>
          </cell>
          <cell r="D399" t="str">
            <v>ชิยานฤดม</v>
          </cell>
          <cell r="E399" t="str">
            <v>บง.วบก.</v>
          </cell>
          <cell r="F399" t="str">
            <v>Maintenance</v>
          </cell>
          <cell r="G399">
            <v>25.998631074606429</v>
          </cell>
          <cell r="H399" t="str">
            <v>Male</v>
          </cell>
          <cell r="I399" t="str">
            <v>ไม่ระบุ</v>
          </cell>
          <cell r="J399">
            <v>116</v>
          </cell>
          <cell r="K399">
            <v>164</v>
          </cell>
          <cell r="L399">
            <v>84.3</v>
          </cell>
          <cell r="M399">
            <v>31.342950624628195</v>
          </cell>
          <cell r="N399">
            <v>96</v>
          </cell>
          <cell r="O399" t="str">
            <v>ไม่มี</v>
          </cell>
          <cell r="P399">
            <v>87</v>
          </cell>
          <cell r="Q399">
            <v>169</v>
          </cell>
          <cell r="R399">
            <v>1</v>
          </cell>
          <cell r="S399">
            <v>1</v>
          </cell>
          <cell r="T399">
            <v>0</v>
          </cell>
          <cell r="U399">
            <v>5.7173379808350431</v>
          </cell>
          <cell r="V399">
            <v>0.951957205985976</v>
          </cell>
          <cell r="W399" t="str">
            <v>ความเสี่ยงต่ำ</v>
          </cell>
        </row>
        <row r="400">
          <cell r="A400">
            <v>600046</v>
          </cell>
          <cell r="B400" t="str">
            <v>นาย</v>
          </cell>
          <cell r="C400" t="str">
            <v>คมเดช</v>
          </cell>
          <cell r="D400" t="str">
            <v>โอฬารธนสาร</v>
          </cell>
          <cell r="E400" t="str">
            <v>ปภ.ผยก.</v>
          </cell>
          <cell r="F400" t="str">
            <v>Support</v>
          </cell>
          <cell r="G400">
            <v>31.488021902806295</v>
          </cell>
          <cell r="H400" t="str">
            <v>Male</v>
          </cell>
          <cell r="I400" t="str">
            <v>ไม่สูบ</v>
          </cell>
          <cell r="J400">
            <v>112</v>
          </cell>
          <cell r="K400">
            <v>169.5</v>
          </cell>
          <cell r="L400">
            <v>62.5</v>
          </cell>
          <cell r="M400">
            <v>21.754074538160996</v>
          </cell>
          <cell r="N400">
            <v>70</v>
          </cell>
          <cell r="O400" t="str">
            <v>ไม่มี</v>
          </cell>
          <cell r="P400">
            <v>87</v>
          </cell>
          <cell r="Q400">
            <v>190</v>
          </cell>
          <cell r="R400">
            <v>1</v>
          </cell>
          <cell r="S400">
            <v>0</v>
          </cell>
          <cell r="T400">
            <v>0</v>
          </cell>
          <cell r="U400">
            <v>5.7085348323066389</v>
          </cell>
          <cell r="V400">
            <v>0.94365325502138164</v>
          </cell>
          <cell r="W400" t="str">
            <v>ความเสี่ยงต่ำ</v>
          </cell>
        </row>
        <row r="401">
          <cell r="A401">
            <v>520103</v>
          </cell>
          <cell r="B401" t="str">
            <v>นาย</v>
          </cell>
          <cell r="C401" t="str">
            <v>นภัส</v>
          </cell>
          <cell r="D401" t="str">
            <v>ธีระตันติกานนท์</v>
          </cell>
          <cell r="E401" t="str">
            <v>วก.วบก.</v>
          </cell>
          <cell r="F401" t="str">
            <v>Maintenance</v>
          </cell>
          <cell r="G401">
            <v>40.427104722792606</v>
          </cell>
          <cell r="H401" t="str">
            <v>Male</v>
          </cell>
          <cell r="I401" t="str">
            <v>ไม่สูบ</v>
          </cell>
          <cell r="J401">
            <v>114</v>
          </cell>
          <cell r="K401">
            <v>179.5</v>
          </cell>
          <cell r="L401">
            <v>68.400000000000006</v>
          </cell>
          <cell r="M401">
            <v>21.228885561098995</v>
          </cell>
          <cell r="N401">
            <v>76</v>
          </cell>
          <cell r="O401" t="str">
            <v>ไม่มี</v>
          </cell>
          <cell r="P401">
            <v>84</v>
          </cell>
          <cell r="Q401">
            <v>282</v>
          </cell>
          <cell r="R401">
            <v>1</v>
          </cell>
          <cell r="S401">
            <v>0</v>
          </cell>
          <cell r="T401">
            <v>0</v>
          </cell>
          <cell r="U401">
            <v>6.6767399794661184</v>
          </cell>
          <cell r="V401">
            <v>2.4657310873155147</v>
          </cell>
          <cell r="W401" t="str">
            <v>ความเสี่ยงต่ำ</v>
          </cell>
        </row>
        <row r="402">
          <cell r="A402">
            <v>590062</v>
          </cell>
          <cell r="B402" t="str">
            <v>นาย</v>
          </cell>
          <cell r="C402" t="str">
            <v>ณัฐพล</v>
          </cell>
          <cell r="D402" t="str">
            <v>นุระธนะ</v>
          </cell>
          <cell r="E402" t="str">
            <v>คผ.A ปล.</v>
          </cell>
          <cell r="F402" t="str">
            <v>Operation</v>
          </cell>
          <cell r="G402">
            <v>32.815879534565369</v>
          </cell>
          <cell r="H402" t="str">
            <v>Male</v>
          </cell>
          <cell r="I402" t="str">
            <v>ไม่สูบ</v>
          </cell>
          <cell r="J402">
            <v>121</v>
          </cell>
          <cell r="K402">
            <v>167</v>
          </cell>
          <cell r="L402">
            <v>73.3</v>
          </cell>
          <cell r="M402">
            <v>26.282763813689986</v>
          </cell>
          <cell r="N402">
            <v>89</v>
          </cell>
          <cell r="O402" t="str">
            <v>ไม่มี</v>
          </cell>
          <cell r="P402">
            <v>89</v>
          </cell>
          <cell r="Q402">
            <v>203</v>
          </cell>
          <cell r="R402">
            <v>1</v>
          </cell>
          <cell r="S402">
            <v>0</v>
          </cell>
          <cell r="T402">
            <v>0</v>
          </cell>
          <cell r="U402">
            <v>6.032313422313484</v>
          </cell>
          <cell r="V402">
            <v>1.3020929789381741</v>
          </cell>
          <cell r="W402" t="str">
            <v>ความเสี่ยงต่ำ</v>
          </cell>
        </row>
        <row r="403">
          <cell r="A403">
            <v>600040</v>
          </cell>
          <cell r="B403" t="str">
            <v>นางสาว</v>
          </cell>
          <cell r="C403" t="str">
            <v>อรวรรยา</v>
          </cell>
          <cell r="D403" t="str">
            <v>ประกอบสุข</v>
          </cell>
          <cell r="E403" t="str">
            <v>กผ.ทผก.</v>
          </cell>
          <cell r="F403" t="str">
            <v>Support</v>
          </cell>
          <cell r="G403">
            <v>33.560574948665298</v>
          </cell>
          <cell r="H403" t="str">
            <v>Female</v>
          </cell>
          <cell r="I403" t="str">
            <v>ไม่สูบ</v>
          </cell>
          <cell r="J403">
            <v>111</v>
          </cell>
          <cell r="K403">
            <v>153</v>
          </cell>
          <cell r="L403">
            <v>42.3</v>
          </cell>
          <cell r="M403">
            <v>18.069973087274125</v>
          </cell>
          <cell r="N403">
            <v>62</v>
          </cell>
          <cell r="O403" t="str">
            <v>ไม่มี</v>
          </cell>
          <cell r="P403">
            <v>85</v>
          </cell>
          <cell r="Q403">
            <v>241</v>
          </cell>
          <cell r="R403">
            <v>0</v>
          </cell>
          <cell r="S403">
            <v>0</v>
          </cell>
          <cell r="T403">
            <v>0</v>
          </cell>
          <cell r="U403">
            <v>5.5704218480492811</v>
          </cell>
          <cell r="V403">
            <v>0.82242429907540826</v>
          </cell>
          <cell r="W403" t="str">
            <v>ความเสี่ยงต่ำ</v>
          </cell>
        </row>
        <row r="404">
          <cell r="A404">
            <v>550171</v>
          </cell>
          <cell r="B404" t="str">
            <v>นาย</v>
          </cell>
          <cell r="C404" t="str">
            <v>สังสิทธิ์</v>
          </cell>
          <cell r="D404" t="str">
            <v>ไทยกูล</v>
          </cell>
          <cell r="E404" t="str">
            <v>คพ.ทผก.</v>
          </cell>
          <cell r="F404" t="str">
            <v>Support</v>
          </cell>
          <cell r="G404">
            <v>33.653661875427787</v>
          </cell>
          <cell r="H404" t="str">
            <v>Male</v>
          </cell>
          <cell r="I404" t="str">
            <v>ไม่สูบ</v>
          </cell>
          <cell r="J404">
            <v>124</v>
          </cell>
          <cell r="K404">
            <v>171</v>
          </cell>
          <cell r="L404">
            <v>62.4</v>
          </cell>
          <cell r="M404">
            <v>21.339899456242946</v>
          </cell>
          <cell r="N404">
            <v>78</v>
          </cell>
          <cell r="O404" t="str">
            <v>ไม่มี</v>
          </cell>
          <cell r="P404">
            <v>82</v>
          </cell>
          <cell r="Q404">
            <v>202</v>
          </cell>
          <cell r="R404">
            <v>1</v>
          </cell>
          <cell r="S404">
            <v>0</v>
          </cell>
          <cell r="T404">
            <v>0</v>
          </cell>
          <cell r="U404">
            <v>6.1612691512662563</v>
          </cell>
          <cell r="V404">
            <v>1.4799803408748757</v>
          </cell>
          <cell r="W404" t="str">
            <v>ความเสี่ยงต่ำ</v>
          </cell>
        </row>
        <row r="405">
          <cell r="A405">
            <v>480176</v>
          </cell>
          <cell r="B405" t="str">
            <v>นาย</v>
          </cell>
          <cell r="C405" t="str">
            <v>ชนทัต</v>
          </cell>
          <cell r="D405" t="str">
            <v>สหะวงศ์วัฒนา</v>
          </cell>
          <cell r="E405" t="str">
            <v>บค.วบก.</v>
          </cell>
          <cell r="F405" t="str">
            <v>Maintenance</v>
          </cell>
          <cell r="G405">
            <v>44.33949349760438</v>
          </cell>
          <cell r="H405" t="str">
            <v>Male</v>
          </cell>
          <cell r="I405" t="str">
            <v>ไม่สูบ</v>
          </cell>
          <cell r="J405">
            <v>98</v>
          </cell>
          <cell r="K405">
            <v>179</v>
          </cell>
          <cell r="L405">
            <v>70.8</v>
          </cell>
          <cell r="M405">
            <v>22.096688617708558</v>
          </cell>
          <cell r="N405">
            <v>87</v>
          </cell>
          <cell r="O405" t="str">
            <v>โรคเก๊าท์</v>
          </cell>
          <cell r="P405">
            <v>101</v>
          </cell>
          <cell r="Q405">
            <v>234</v>
          </cell>
          <cell r="R405">
            <v>1</v>
          </cell>
          <cell r="S405">
            <v>0</v>
          </cell>
          <cell r="T405">
            <v>0</v>
          </cell>
          <cell r="U405">
            <v>6.5616907529089668</v>
          </cell>
          <cell r="V405">
            <v>2.2007328782406299</v>
          </cell>
          <cell r="W405" t="str">
            <v>ความเสี่ยงต่ำ</v>
          </cell>
        </row>
        <row r="406">
          <cell r="A406">
            <v>360111</v>
          </cell>
          <cell r="B406" t="str">
            <v>นาย</v>
          </cell>
          <cell r="C406" t="str">
            <v>ประมาณ</v>
          </cell>
          <cell r="D406" t="str">
            <v>ยังเจริญ</v>
          </cell>
          <cell r="E406" t="str">
            <v>ผ.ปก.B คธ.</v>
          </cell>
          <cell r="F406" t="str">
            <v>Operation</v>
          </cell>
          <cell r="G406">
            <v>54.57631759069131</v>
          </cell>
          <cell r="H406" t="str">
            <v>Male</v>
          </cell>
          <cell r="I406" t="str">
            <v>ไม่สูบ</v>
          </cell>
          <cell r="J406">
            <v>126</v>
          </cell>
          <cell r="K406">
            <v>170.5</v>
          </cell>
          <cell r="L406">
            <v>71.8</v>
          </cell>
          <cell r="M406">
            <v>24.698790000085996</v>
          </cell>
          <cell r="N406">
            <v>89</v>
          </cell>
          <cell r="O406" t="str">
            <v>ไม่มี</v>
          </cell>
          <cell r="P406">
            <v>104</v>
          </cell>
          <cell r="Q406">
            <v>199</v>
          </cell>
          <cell r="R406">
            <v>1</v>
          </cell>
          <cell r="S406">
            <v>0</v>
          </cell>
          <cell r="T406">
            <v>0</v>
          </cell>
          <cell r="U406">
            <v>7.90869006844627</v>
          </cell>
          <cell r="V406">
            <v>8.2022588094392894</v>
          </cell>
          <cell r="W406" t="str">
            <v>ความเสี่ยงต่ำ</v>
          </cell>
        </row>
        <row r="407">
          <cell r="A407">
            <v>640025</v>
          </cell>
          <cell r="B407" t="str">
            <v>นาย</v>
          </cell>
          <cell r="C407" t="str">
            <v>นิธิศ</v>
          </cell>
          <cell r="D407" t="str">
            <v>พุทธิ</v>
          </cell>
          <cell r="E407" t="str">
            <v>บค.วบก.</v>
          </cell>
          <cell r="F407" t="str">
            <v>Maintenance</v>
          </cell>
          <cell r="G407">
            <v>27.329226557152626</v>
          </cell>
          <cell r="H407" t="str">
            <v>Male</v>
          </cell>
          <cell r="I407" t="str">
            <v>ไม่สูบ</v>
          </cell>
          <cell r="J407">
            <v>136</v>
          </cell>
          <cell r="K407">
            <v>168.5</v>
          </cell>
          <cell r="L407">
            <v>85.9</v>
          </cell>
          <cell r="M407">
            <v>30.254735006912096</v>
          </cell>
          <cell r="N407">
            <v>102</v>
          </cell>
          <cell r="O407" t="str">
            <v>ไม่มี</v>
          </cell>
          <cell r="P407">
            <v>76</v>
          </cell>
          <cell r="Q407">
            <v>198</v>
          </cell>
          <cell r="R407">
            <v>1</v>
          </cell>
          <cell r="S407">
            <v>0</v>
          </cell>
          <cell r="T407">
            <v>0</v>
          </cell>
          <cell r="U407">
            <v>5.8853406091718004</v>
          </cell>
          <cell r="V407">
            <v>1.1251248742207509</v>
          </cell>
          <cell r="W407" t="str">
            <v>ความเสี่ยงต่ำ</v>
          </cell>
        </row>
        <row r="408">
          <cell r="A408">
            <v>640129</v>
          </cell>
          <cell r="B408" t="str">
            <v>นางสาว</v>
          </cell>
          <cell r="C408" t="str">
            <v>สิตานัน</v>
          </cell>
          <cell r="D408" t="str">
            <v>ไชยลิขิต</v>
          </cell>
          <cell r="E408" t="str">
            <v>กช.บรก.</v>
          </cell>
          <cell r="F408" t="str">
            <v>Support</v>
          </cell>
          <cell r="G408">
            <v>29.878165639972622</v>
          </cell>
          <cell r="H408" t="str">
            <v>Female</v>
          </cell>
          <cell r="I408" t="str">
            <v>ไม่สูบ</v>
          </cell>
          <cell r="J408">
            <v>98</v>
          </cell>
          <cell r="K408">
            <v>160</v>
          </cell>
          <cell r="L408">
            <v>67</v>
          </cell>
          <cell r="M408">
            <v>26.171875</v>
          </cell>
          <cell r="N408">
            <v>78</v>
          </cell>
          <cell r="O408" t="str">
            <v>ไม่มี</v>
          </cell>
          <cell r="P408">
            <v>91</v>
          </cell>
          <cell r="Q408">
            <v>222</v>
          </cell>
          <cell r="R408">
            <v>0</v>
          </cell>
          <cell r="S408">
            <v>0</v>
          </cell>
          <cell r="T408">
            <v>0</v>
          </cell>
          <cell r="U408">
            <v>4.9578902943189602</v>
          </cell>
          <cell r="V408">
            <v>0.44657801634561123</v>
          </cell>
          <cell r="W408" t="str">
            <v>ความเสี่ยงต่ำ</v>
          </cell>
        </row>
        <row r="409">
          <cell r="A409">
            <v>670101</v>
          </cell>
          <cell r="B409" t="str">
            <v>นาย</v>
          </cell>
          <cell r="C409" t="str">
            <v>ภัทรพล</v>
          </cell>
          <cell r="D409" t="str">
            <v>เนตรสว่าง</v>
          </cell>
          <cell r="E409" t="str">
            <v>ตร.วบก.</v>
          </cell>
          <cell r="F409" t="str">
            <v>Maintenance</v>
          </cell>
          <cell r="G409">
            <v>23.353867214236818</v>
          </cell>
          <cell r="H409" t="str">
            <v>Male</v>
          </cell>
          <cell r="I409" t="str">
            <v>ไม่สูบ</v>
          </cell>
          <cell r="J409">
            <v>133</v>
          </cell>
          <cell r="K409">
            <v>174</v>
          </cell>
          <cell r="L409">
            <v>62.4</v>
          </cell>
          <cell r="M409">
            <v>20.610384462940946</v>
          </cell>
          <cell r="N409">
            <v>76</v>
          </cell>
          <cell r="O409" t="str">
            <v>ไม่มี</v>
          </cell>
          <cell r="P409">
            <v>94</v>
          </cell>
          <cell r="Q409">
            <v>209</v>
          </cell>
          <cell r="R409">
            <v>1</v>
          </cell>
          <cell r="S409">
            <v>0</v>
          </cell>
          <cell r="T409">
            <v>0</v>
          </cell>
          <cell r="U409">
            <v>5.5208369541409992</v>
          </cell>
          <cell r="V409">
            <v>0.78279514046832865</v>
          </cell>
          <cell r="W409" t="str">
            <v>ความเสี่ยงต่ำ</v>
          </cell>
        </row>
        <row r="410">
          <cell r="A410">
            <v>480190</v>
          </cell>
          <cell r="B410" t="str">
            <v>นาย</v>
          </cell>
          <cell r="C410" t="str">
            <v>อนิรุธ</v>
          </cell>
          <cell r="D410" t="str">
            <v>คงตาล</v>
          </cell>
          <cell r="E410" t="str">
            <v>คผ.C ปล.</v>
          </cell>
          <cell r="F410" t="str">
            <v>Operation</v>
          </cell>
          <cell r="G410">
            <v>43.3347022587269</v>
          </cell>
          <cell r="H410" t="str">
            <v>Male</v>
          </cell>
          <cell r="I410" t="str">
            <v>ไม่สูบ</v>
          </cell>
          <cell r="J410">
            <v>119</v>
          </cell>
          <cell r="K410">
            <v>157.5</v>
          </cell>
          <cell r="L410">
            <v>70.400000000000006</v>
          </cell>
          <cell r="M410">
            <v>28.379944570420761</v>
          </cell>
          <cell r="N410">
            <v>89</v>
          </cell>
          <cell r="O410" t="str">
            <v>ไม่มี</v>
          </cell>
          <cell r="P410">
            <v>105</v>
          </cell>
          <cell r="Q410">
            <v>189</v>
          </cell>
          <cell r="R410">
            <v>1</v>
          </cell>
          <cell r="S410">
            <v>0</v>
          </cell>
          <cell r="T410">
            <v>0</v>
          </cell>
          <cell r="U410">
            <v>6.8217086858316227</v>
          </cell>
          <cell r="V410">
            <v>2.8448728418434155</v>
          </cell>
          <cell r="W410" t="str">
            <v>ความเสี่ยงต่ำ</v>
          </cell>
        </row>
        <row r="411">
          <cell r="A411">
            <v>480189</v>
          </cell>
          <cell r="B411" t="str">
            <v>นาย</v>
          </cell>
          <cell r="C411" t="str">
            <v>เสริมศักดิ์</v>
          </cell>
          <cell r="D411" t="str">
            <v>ดำรงชีพ</v>
          </cell>
          <cell r="E411" t="str">
            <v>ผ.ปก.D ปอ.</v>
          </cell>
          <cell r="F411" t="str">
            <v>Operation</v>
          </cell>
          <cell r="G411">
            <v>41.081451060917168</v>
          </cell>
          <cell r="H411" t="str">
            <v>Male</v>
          </cell>
          <cell r="I411" t="str">
            <v>ไม่ระบุ</v>
          </cell>
          <cell r="J411">
            <v>125</v>
          </cell>
          <cell r="K411">
            <v>170.5</v>
          </cell>
          <cell r="L411">
            <v>73.599999999999994</v>
          </cell>
          <cell r="M411">
            <v>25.317979721536624</v>
          </cell>
          <cell r="N411">
            <v>90</v>
          </cell>
          <cell r="O411" t="str">
            <v>ไม่มี</v>
          </cell>
          <cell r="P411">
            <v>93</v>
          </cell>
          <cell r="Q411">
            <v>189</v>
          </cell>
          <cell r="R411">
            <v>1</v>
          </cell>
          <cell r="S411">
            <v>1</v>
          </cell>
          <cell r="T411">
            <v>0</v>
          </cell>
          <cell r="U411">
            <v>7.1815251403148519</v>
          </cell>
          <cell r="V411">
            <v>4.0516409828463607</v>
          </cell>
          <cell r="W411" t="str">
            <v>ความเสี่ยงต่ำ</v>
          </cell>
        </row>
        <row r="412">
          <cell r="A412">
            <v>520038</v>
          </cell>
          <cell r="B412" t="str">
            <v>นาย</v>
          </cell>
          <cell r="C412" t="str">
            <v>ณรงค์ฤทธิ์</v>
          </cell>
          <cell r="D412" t="str">
            <v>มาลาสาย</v>
          </cell>
          <cell r="E412" t="str">
            <v>อท.บรก.</v>
          </cell>
          <cell r="F412" t="str">
            <v>Support</v>
          </cell>
          <cell r="G412">
            <v>39.466119096509239</v>
          </cell>
          <cell r="H412" t="str">
            <v>Male</v>
          </cell>
          <cell r="I412" t="str">
            <v>ไม่สูบ</v>
          </cell>
          <cell r="J412">
            <v>117</v>
          </cell>
          <cell r="K412">
            <v>163.5</v>
          </cell>
          <cell r="L412">
            <v>54.3</v>
          </cell>
          <cell r="M412">
            <v>20.312543837499646</v>
          </cell>
          <cell r="N412">
            <v>75</v>
          </cell>
          <cell r="O412" t="str">
            <v>ไม่มี</v>
          </cell>
          <cell r="P412">
            <v>89</v>
          </cell>
          <cell r="Q412">
            <v>237</v>
          </cell>
          <cell r="R412">
            <v>1</v>
          </cell>
          <cell r="S412">
            <v>0</v>
          </cell>
          <cell r="T412">
            <v>0</v>
          </cell>
          <cell r="U412">
            <v>6.5652225256673518</v>
          </cell>
          <cell r="V412">
            <v>2.2084324924886767</v>
          </cell>
          <cell r="W412" t="str">
            <v>ความเสี่ยงต่ำ</v>
          </cell>
        </row>
        <row r="413">
          <cell r="A413">
            <v>340128</v>
          </cell>
          <cell r="B413" t="str">
            <v>นาย</v>
          </cell>
          <cell r="C413" t="str">
            <v>ศิวพงษ์</v>
          </cell>
          <cell r="D413" t="str">
            <v>บุญเนาว์</v>
          </cell>
          <cell r="E413" t="str">
            <v>คผ.D ปต.</v>
          </cell>
          <cell r="F413" t="str">
            <v>Operation</v>
          </cell>
          <cell r="G413">
            <v>55.561943874058862</v>
          </cell>
          <cell r="H413" t="str">
            <v>Male</v>
          </cell>
          <cell r="I413" t="str">
            <v>ไม่สูบ</v>
          </cell>
          <cell r="J413">
            <v>105</v>
          </cell>
          <cell r="K413">
            <v>171.5</v>
          </cell>
          <cell r="L413">
            <v>77.7</v>
          </cell>
          <cell r="M413">
            <v>26.417564110192181</v>
          </cell>
          <cell r="N413">
            <v>96</v>
          </cell>
          <cell r="O413" t="str">
            <v>ไขมันในเลือดสูง</v>
          </cell>
          <cell r="P413">
            <v>88</v>
          </cell>
          <cell r="Q413">
            <v>137</v>
          </cell>
          <cell r="R413">
            <v>1</v>
          </cell>
          <cell r="S413">
            <v>0</v>
          </cell>
          <cell r="T413">
            <v>0</v>
          </cell>
          <cell r="U413">
            <v>7.4202638672142367</v>
          </cell>
          <cell r="V413">
            <v>5.1157704982104253</v>
          </cell>
          <cell r="W413" t="str">
            <v>ความเสี่ยงต่ำ</v>
          </cell>
        </row>
        <row r="414">
          <cell r="A414">
            <v>540128</v>
          </cell>
          <cell r="B414" t="str">
            <v>นาย</v>
          </cell>
          <cell r="C414" t="str">
            <v>บรรจักร</v>
          </cell>
          <cell r="D414" t="str">
            <v>เบ็ญเจิด</v>
          </cell>
          <cell r="E414" t="str">
            <v>คผ.C ปผ.</v>
          </cell>
          <cell r="F414" t="str">
            <v>Operation</v>
          </cell>
          <cell r="G414">
            <v>38.965092402464059</v>
          </cell>
          <cell r="H414" t="str">
            <v>Male</v>
          </cell>
          <cell r="I414" t="str">
            <v>ไม่สูบ</v>
          </cell>
          <cell r="J414">
            <v>114</v>
          </cell>
          <cell r="K414">
            <v>170</v>
          </cell>
          <cell r="L414">
            <v>64.099999999999994</v>
          </cell>
          <cell r="M414">
            <v>22.179930795847749</v>
          </cell>
          <cell r="N414">
            <v>82</v>
          </cell>
          <cell r="O414" t="str">
            <v>ไม่มี</v>
          </cell>
          <cell r="P414">
            <v>99</v>
          </cell>
          <cell r="Q414">
            <v>187</v>
          </cell>
          <cell r="R414">
            <v>1</v>
          </cell>
          <cell r="S414">
            <v>0</v>
          </cell>
          <cell r="T414">
            <v>0</v>
          </cell>
          <cell r="U414">
            <v>6.3557035112936342</v>
          </cell>
          <cell r="V414">
            <v>1.7947531705806985</v>
          </cell>
          <cell r="W414" t="str">
            <v>ความเสี่ยงต่ำ</v>
          </cell>
        </row>
        <row r="415">
          <cell r="A415">
            <v>480199</v>
          </cell>
          <cell r="B415" t="str">
            <v>นาย</v>
          </cell>
          <cell r="C415" t="str">
            <v>สุวัฒน์</v>
          </cell>
          <cell r="D415" t="str">
            <v>จันทร์ปุย</v>
          </cell>
          <cell r="E415" t="str">
            <v>บฟ.วบก.</v>
          </cell>
          <cell r="F415" t="str">
            <v>Maintenance</v>
          </cell>
          <cell r="G415">
            <v>48.563997262149215</v>
          </cell>
          <cell r="H415" t="str">
            <v>Male</v>
          </cell>
          <cell r="I415" t="str">
            <v>ไม่สูบ</v>
          </cell>
          <cell r="J415">
            <v>132</v>
          </cell>
          <cell r="K415">
            <v>172</v>
          </cell>
          <cell r="L415">
            <v>104.5</v>
          </cell>
          <cell r="M415">
            <v>35.323147647376956</v>
          </cell>
          <cell r="N415">
            <v>117</v>
          </cell>
          <cell r="O415" t="str">
            <v>ไขมันในเลือดสูง โรคความดันโลหิตสูง</v>
          </cell>
          <cell r="P415">
            <v>115</v>
          </cell>
          <cell r="Q415">
            <v>254</v>
          </cell>
          <cell r="R415">
            <v>1</v>
          </cell>
          <cell r="S415">
            <v>0</v>
          </cell>
          <cell r="T415">
            <v>0</v>
          </cell>
          <cell r="U415">
            <v>7.6583418959616711</v>
          </cell>
          <cell r="V415">
            <v>6.4457319794440027</v>
          </cell>
          <cell r="W415" t="str">
            <v>ความเสี่ยงต่ำ</v>
          </cell>
        </row>
        <row r="416">
          <cell r="A416">
            <v>550168</v>
          </cell>
          <cell r="B416" t="str">
            <v>นาย</v>
          </cell>
          <cell r="C416" t="str">
            <v>สุริยพงษ์</v>
          </cell>
          <cell r="D416" t="str">
            <v>ดวงทองพล</v>
          </cell>
          <cell r="E416" t="str">
            <v>บฟ.วบก.</v>
          </cell>
          <cell r="F416" t="str">
            <v>Maintenance</v>
          </cell>
          <cell r="G416">
            <v>35.942505133470227</v>
          </cell>
          <cell r="H416" t="str">
            <v>Male</v>
          </cell>
          <cell r="I416" t="str">
            <v>ไม่สูบ</v>
          </cell>
          <cell r="J416">
            <v>128</v>
          </cell>
          <cell r="K416">
            <v>176</v>
          </cell>
          <cell r="L416">
            <v>102</v>
          </cell>
          <cell r="M416">
            <v>32.928719008264459</v>
          </cell>
          <cell r="N416">
            <v>108</v>
          </cell>
          <cell r="O416" t="str">
            <v>โรคเก๊าท์</v>
          </cell>
          <cell r="P416">
            <v>86</v>
          </cell>
          <cell r="Q416">
            <v>214</v>
          </cell>
          <cell r="R416">
            <v>1</v>
          </cell>
          <cell r="S416">
            <v>0</v>
          </cell>
          <cell r="T416">
            <v>0</v>
          </cell>
          <cell r="U416">
            <v>6.4573651950718691</v>
          </cell>
          <cell r="V416">
            <v>1.9848895567078806</v>
          </cell>
          <cell r="W416" t="str">
            <v>ความเสี่ยงต่ำ</v>
          </cell>
        </row>
        <row r="417">
          <cell r="A417">
            <v>480193</v>
          </cell>
          <cell r="B417" t="str">
            <v>นาย</v>
          </cell>
          <cell r="C417" t="str">
            <v>อนุวัฒน์</v>
          </cell>
          <cell r="D417" t="str">
            <v>โดดสู้</v>
          </cell>
          <cell r="E417" t="str">
            <v>บค.วบก.</v>
          </cell>
          <cell r="F417" t="str">
            <v>Maintenance</v>
          </cell>
          <cell r="G417">
            <v>44.136892539356602</v>
          </cell>
          <cell r="H417" t="str">
            <v>Male</v>
          </cell>
          <cell r="I417" t="str">
            <v>ไม่สูบ</v>
          </cell>
          <cell r="J417">
            <v>121</v>
          </cell>
          <cell r="K417">
            <v>176.5</v>
          </cell>
          <cell r="L417">
            <v>68.400000000000006</v>
          </cell>
          <cell r="M417">
            <v>21.956680496593343</v>
          </cell>
          <cell r="N417">
            <v>80</v>
          </cell>
          <cell r="O417" t="str">
            <v>ไม่มี</v>
          </cell>
          <cell r="P417">
            <v>86</v>
          </cell>
          <cell r="Q417">
            <v>232</v>
          </cell>
          <cell r="R417">
            <v>1</v>
          </cell>
          <cell r="S417">
            <v>0</v>
          </cell>
          <cell r="T417">
            <v>0</v>
          </cell>
          <cell r="U417">
            <v>7.0201919164955502</v>
          </cell>
          <cell r="V417">
            <v>3.4585528485696737</v>
          </cell>
          <cell r="W417" t="str">
            <v>ความเสี่ยงต่ำ</v>
          </cell>
        </row>
        <row r="418">
          <cell r="A418">
            <v>580259</v>
          </cell>
          <cell r="B418" t="str">
            <v>นาย</v>
          </cell>
          <cell r="C418" t="str">
            <v>อนุศักดิ์</v>
          </cell>
          <cell r="D418" t="str">
            <v>แดงเกาะโพธิ์</v>
          </cell>
          <cell r="E418" t="str">
            <v>ผ.ปก.A ปก.</v>
          </cell>
          <cell r="F418" t="str">
            <v>Operation</v>
          </cell>
          <cell r="G418">
            <v>33.776865160848729</v>
          </cell>
          <cell r="H418" t="str">
            <v>Male</v>
          </cell>
          <cell r="I418" t="str">
            <v>ไม่สูบ</v>
          </cell>
          <cell r="J418">
            <v>111</v>
          </cell>
          <cell r="K418">
            <v>166</v>
          </cell>
          <cell r="L418">
            <v>64.599999999999994</v>
          </cell>
          <cell r="M418">
            <v>23.443170271447233</v>
          </cell>
          <cell r="N418">
            <v>78</v>
          </cell>
          <cell r="O418" t="str">
            <v>ไม่มี</v>
          </cell>
          <cell r="P418">
            <v>92</v>
          </cell>
          <cell r="Q418">
            <v>225</v>
          </cell>
          <cell r="R418">
            <v>1</v>
          </cell>
          <cell r="S418">
            <v>0</v>
          </cell>
          <cell r="T418">
            <v>0</v>
          </cell>
          <cell r="U418">
            <v>5.9491908761122518</v>
          </cell>
          <cell r="V418">
            <v>1.1988610809607558</v>
          </cell>
          <cell r="W418" t="str">
            <v>ความเสี่ยงต่ำ</v>
          </cell>
        </row>
        <row r="419">
          <cell r="A419">
            <v>560295</v>
          </cell>
          <cell r="B419" t="str">
            <v>นาย</v>
          </cell>
          <cell r="C419" t="str">
            <v>จีรภัทร์</v>
          </cell>
          <cell r="D419" t="str">
            <v>ชำนาญชล</v>
          </cell>
          <cell r="E419" t="str">
            <v>คผ.C ปต.</v>
          </cell>
          <cell r="F419" t="str">
            <v>Operation</v>
          </cell>
          <cell r="G419">
            <v>33.420944558521562</v>
          </cell>
          <cell r="H419" t="str">
            <v>Male</v>
          </cell>
          <cell r="I419" t="str">
            <v>ไม่ระบุ</v>
          </cell>
          <cell r="J419">
            <v>117</v>
          </cell>
          <cell r="K419">
            <v>174.5</v>
          </cell>
          <cell r="L419">
            <v>68.900000000000006</v>
          </cell>
          <cell r="M419">
            <v>22.627072027323255</v>
          </cell>
          <cell r="N419">
            <v>77</v>
          </cell>
          <cell r="O419" t="str">
            <v>ไม่มี</v>
          </cell>
          <cell r="P419">
            <v>89</v>
          </cell>
          <cell r="Q419">
            <v>217</v>
          </cell>
          <cell r="R419">
            <v>1</v>
          </cell>
          <cell r="S419">
            <v>1</v>
          </cell>
          <cell r="T419">
            <v>0</v>
          </cell>
          <cell r="U419">
            <v>6.4473058932238194</v>
          </cell>
          <cell r="V419">
            <v>1.9652195509990311</v>
          </cell>
          <cell r="W419" t="str">
            <v>ความเสี่ยงต่ำ</v>
          </cell>
        </row>
        <row r="420">
          <cell r="A420">
            <v>660120</v>
          </cell>
          <cell r="B420" t="str">
            <v>นาย</v>
          </cell>
          <cell r="C420" t="str">
            <v>กติกา</v>
          </cell>
          <cell r="D420" t="str">
            <v>จันธิมา</v>
          </cell>
          <cell r="E420" t="str">
            <v>ตร.วบก.</v>
          </cell>
          <cell r="F420" t="str">
            <v>Maintenance</v>
          </cell>
          <cell r="G420">
            <v>30.069815195071868</v>
          </cell>
          <cell r="H420" t="str">
            <v>Male</v>
          </cell>
          <cell r="I420" t="str">
            <v>ไม่สูบ</v>
          </cell>
          <cell r="J420">
            <v>118</v>
          </cell>
          <cell r="K420">
            <v>171</v>
          </cell>
          <cell r="L420">
            <v>73.099999999999994</v>
          </cell>
          <cell r="M420">
            <v>24.999145036079476</v>
          </cell>
          <cell r="N420">
            <v>82</v>
          </cell>
          <cell r="O420" t="str">
            <v>ไม่มี</v>
          </cell>
          <cell r="P420">
            <v>98</v>
          </cell>
          <cell r="Q420">
            <v>214</v>
          </cell>
          <cell r="R420">
            <v>1</v>
          </cell>
          <cell r="S420">
            <v>0</v>
          </cell>
          <cell r="T420">
            <v>0</v>
          </cell>
          <cell r="U420">
            <v>5.7684029774127312</v>
          </cell>
          <cell r="V420">
            <v>1.0015808920043945</v>
          </cell>
          <cell r="W420" t="str">
            <v>ความเสี่ยงต่ำ</v>
          </cell>
        </row>
        <row r="421">
          <cell r="A421">
            <v>360096</v>
          </cell>
          <cell r="B421" t="str">
            <v>นาย</v>
          </cell>
          <cell r="C421" t="str">
            <v>ปรีชา</v>
          </cell>
          <cell r="D421" t="str">
            <v>ทองทา</v>
          </cell>
          <cell r="E421" t="str">
            <v>ผ.ปก.B ปอ.</v>
          </cell>
          <cell r="F421" t="str">
            <v>Operation</v>
          </cell>
          <cell r="G421">
            <v>52.676249144421632</v>
          </cell>
          <cell r="H421" t="str">
            <v>Male</v>
          </cell>
          <cell r="I421" t="str">
            <v>ไม่สูบ</v>
          </cell>
          <cell r="J421">
            <v>116</v>
          </cell>
          <cell r="K421">
            <v>165</v>
          </cell>
          <cell r="L421">
            <v>67</v>
          </cell>
          <cell r="M421">
            <v>24.609733700642789</v>
          </cell>
          <cell r="N421">
            <v>79</v>
          </cell>
          <cell r="O421" t="str">
            <v>โรคกระเพาะอาหาร</v>
          </cell>
          <cell r="P421">
            <v>98</v>
          </cell>
          <cell r="Q421">
            <v>245</v>
          </cell>
          <cell r="R421">
            <v>1</v>
          </cell>
          <cell r="S421">
            <v>0</v>
          </cell>
          <cell r="T421">
            <v>0</v>
          </cell>
          <cell r="U421">
            <v>7.6423274674880224</v>
          </cell>
          <cell r="V421">
            <v>6.3466505675650486</v>
          </cell>
          <cell r="W421" t="str">
            <v>ความเสี่ยงต่ำ</v>
          </cell>
        </row>
        <row r="422">
          <cell r="A422">
            <v>470100</v>
          </cell>
          <cell r="B422" t="str">
            <v>นาย</v>
          </cell>
          <cell r="C422" t="str">
            <v>กิตติชัย</v>
          </cell>
          <cell r="D422" t="str">
            <v>หงษ์ทอง</v>
          </cell>
          <cell r="E422" t="str">
            <v>คผ.B ปต.</v>
          </cell>
          <cell r="F422" t="str">
            <v>Operation</v>
          </cell>
          <cell r="G422">
            <v>45.845311430527033</v>
          </cell>
          <cell r="H422" t="str">
            <v>Male</v>
          </cell>
          <cell r="I422" t="str">
            <v>ไม่สูบ</v>
          </cell>
          <cell r="J422">
            <v>138</v>
          </cell>
          <cell r="K422">
            <v>179</v>
          </cell>
          <cell r="L422">
            <v>94</v>
          </cell>
          <cell r="M422">
            <v>29.337411441590465</v>
          </cell>
          <cell r="N422">
            <v>97</v>
          </cell>
          <cell r="O422" t="str">
            <v>ไม่มี</v>
          </cell>
          <cell r="P422">
            <v>87</v>
          </cell>
          <cell r="Q422">
            <v>295</v>
          </cell>
          <cell r="R422">
            <v>1</v>
          </cell>
          <cell r="S422">
            <v>0</v>
          </cell>
          <cell r="T422">
            <v>0</v>
          </cell>
          <cell r="U422">
            <v>7.6478318343600273</v>
          </cell>
          <cell r="V422">
            <v>6.3805391216138929</v>
          </cell>
          <cell r="W422" t="str">
            <v>ความเสี่ยงต่ำ</v>
          </cell>
        </row>
        <row r="423">
          <cell r="A423">
            <v>480177</v>
          </cell>
          <cell r="B423" t="str">
            <v>นาย</v>
          </cell>
          <cell r="C423" t="str">
            <v>กวินทร์สิทธิ์</v>
          </cell>
          <cell r="D423" t="str">
            <v>ใยเยี่ยม</v>
          </cell>
          <cell r="E423" t="str">
            <v>คผ.B ปผ.</v>
          </cell>
          <cell r="F423" t="str">
            <v>Operation</v>
          </cell>
          <cell r="G423">
            <v>41.930184804928132</v>
          </cell>
          <cell r="H423" t="str">
            <v>Male</v>
          </cell>
          <cell r="I423" t="str">
            <v>ไม่สูบ</v>
          </cell>
          <cell r="J423">
            <v>100</v>
          </cell>
          <cell r="K423">
            <v>160</v>
          </cell>
          <cell r="L423">
            <v>58.3</v>
          </cell>
          <cell r="M423">
            <v>22.7734375</v>
          </cell>
          <cell r="N423">
            <v>79</v>
          </cell>
          <cell r="O423" t="str">
            <v>ไม่มี</v>
          </cell>
          <cell r="P423">
            <v>101</v>
          </cell>
          <cell r="Q423">
            <v>219</v>
          </cell>
          <cell r="R423">
            <v>1</v>
          </cell>
          <cell r="S423">
            <v>0</v>
          </cell>
          <cell r="T423">
            <v>0</v>
          </cell>
          <cell r="U423">
            <v>6.3744170225872692</v>
          </cell>
          <cell r="V423">
            <v>1.828343716581271</v>
          </cell>
          <cell r="W423" t="str">
            <v>ความเสี่ยงต่ำ</v>
          </cell>
        </row>
        <row r="424">
          <cell r="A424">
            <v>490007</v>
          </cell>
          <cell r="B424" t="str">
            <v>นาย</v>
          </cell>
          <cell r="C424" t="str">
            <v>สมเกียรติ์</v>
          </cell>
          <cell r="D424" t="str">
            <v>เพ็ญศรี</v>
          </cell>
          <cell r="E424" t="str">
            <v>ตร.วบก.</v>
          </cell>
          <cell r="F424" t="str">
            <v>Maintenance</v>
          </cell>
          <cell r="G424">
            <v>44.90896646132785</v>
          </cell>
          <cell r="H424" t="str">
            <v>Male</v>
          </cell>
          <cell r="I424" t="str">
            <v>ไม่สูบ</v>
          </cell>
          <cell r="J424">
            <v>142</v>
          </cell>
          <cell r="K424">
            <v>178.5</v>
          </cell>
          <cell r="L424">
            <v>87.1</v>
          </cell>
          <cell r="M424">
            <v>27.336424765984827</v>
          </cell>
          <cell r="N424">
            <v>93</v>
          </cell>
          <cell r="O424" t="str">
            <v>ไม่มี</v>
          </cell>
          <cell r="P424">
            <v>96</v>
          </cell>
          <cell r="Q424">
            <v>194</v>
          </cell>
          <cell r="R424">
            <v>1</v>
          </cell>
          <cell r="S424">
            <v>0</v>
          </cell>
          <cell r="T424">
            <v>0</v>
          </cell>
          <cell r="U424">
            <v>7.4404507255304573</v>
          </cell>
          <cell r="V424">
            <v>5.2173217526705891</v>
          </cell>
          <cell r="W424" t="str">
            <v>ความเสี่ยงต่ำ</v>
          </cell>
        </row>
        <row r="425">
          <cell r="A425">
            <v>530047</v>
          </cell>
          <cell r="B425" t="str">
            <v>นาย</v>
          </cell>
          <cell r="C425" t="str">
            <v>ปริญญา</v>
          </cell>
          <cell r="D425" t="str">
            <v>กาบอ้อย</v>
          </cell>
          <cell r="E425" t="str">
            <v>ซญ.วบก.</v>
          </cell>
          <cell r="F425" t="str">
            <v>Maintenance</v>
          </cell>
          <cell r="G425">
            <v>39.704312114989733</v>
          </cell>
          <cell r="H425" t="str">
            <v>Male</v>
          </cell>
          <cell r="I425" t="str">
            <v>ไม่สูบ</v>
          </cell>
          <cell r="J425">
            <v>107</v>
          </cell>
          <cell r="K425">
            <v>160</v>
          </cell>
          <cell r="L425">
            <v>56.9</v>
          </cell>
          <cell r="M425">
            <v>22.2265625</v>
          </cell>
          <cell r="N425">
            <v>79</v>
          </cell>
          <cell r="O425" t="str">
            <v>ไม่มี</v>
          </cell>
          <cell r="P425">
            <v>73</v>
          </cell>
          <cell r="Q425">
            <v>203</v>
          </cell>
          <cell r="R425">
            <v>1</v>
          </cell>
          <cell r="S425">
            <v>0</v>
          </cell>
          <cell r="T425">
            <v>0</v>
          </cell>
          <cell r="U425">
            <v>6.3042338603696102</v>
          </cell>
          <cell r="V425">
            <v>1.7054871627066981</v>
          </cell>
          <cell r="W425" t="str">
            <v>ความเสี่ยงต่ำ</v>
          </cell>
        </row>
        <row r="426">
          <cell r="A426">
            <v>660037</v>
          </cell>
          <cell r="B426" t="str">
            <v>นาย</v>
          </cell>
          <cell r="C426" t="str">
            <v>เสฎฐวุฒิ</v>
          </cell>
          <cell r="D426" t="str">
            <v>มุกดาหาร</v>
          </cell>
          <cell r="E426" t="str">
            <v>ผ.ปก.D คธ.</v>
          </cell>
          <cell r="F426" t="str">
            <v>Operation</v>
          </cell>
          <cell r="G426">
            <v>25.77960301163586</v>
          </cell>
          <cell r="H426" t="str">
            <v>Male</v>
          </cell>
          <cell r="I426" t="str">
            <v>ไม่ระบุ</v>
          </cell>
          <cell r="J426">
            <v>108</v>
          </cell>
          <cell r="K426">
            <v>173</v>
          </cell>
          <cell r="L426">
            <v>67</v>
          </cell>
          <cell r="M426">
            <v>22.386314277122523</v>
          </cell>
          <cell r="N426">
            <v>80</v>
          </cell>
          <cell r="O426" t="str">
            <v>ไม่มี</v>
          </cell>
          <cell r="P426">
            <v>83</v>
          </cell>
          <cell r="Q426">
            <v>227</v>
          </cell>
          <cell r="R426">
            <v>1</v>
          </cell>
          <cell r="S426">
            <v>1</v>
          </cell>
          <cell r="T426">
            <v>0</v>
          </cell>
          <cell r="U426">
            <v>5.6556549144421622</v>
          </cell>
          <cell r="V426">
            <v>0.89526759612876816</v>
          </cell>
          <cell r="W426" t="str">
            <v>ความเสี่ยงต่ำ</v>
          </cell>
        </row>
        <row r="427">
          <cell r="A427">
            <v>600146</v>
          </cell>
          <cell r="B427" t="str">
            <v>นาย</v>
          </cell>
          <cell r="C427" t="str">
            <v>สุเมธ</v>
          </cell>
          <cell r="D427" t="str">
            <v>กาวงษ์กลาง</v>
          </cell>
          <cell r="E427" t="str">
            <v>ผ.ปก.A ปก.</v>
          </cell>
          <cell r="F427" t="str">
            <v>Operation</v>
          </cell>
          <cell r="G427">
            <v>29.667351129363446</v>
          </cell>
          <cell r="H427" t="str">
            <v>Male</v>
          </cell>
          <cell r="I427" t="str">
            <v>ไม่สูบ</v>
          </cell>
          <cell r="J427">
            <v>120</v>
          </cell>
          <cell r="K427">
            <v>182.5</v>
          </cell>
          <cell r="L427">
            <v>86.5</v>
          </cell>
          <cell r="M427">
            <v>25.971101519984984</v>
          </cell>
          <cell r="N427">
            <v>93</v>
          </cell>
          <cell r="O427" t="str">
            <v>หลอดลมตีบ</v>
          </cell>
          <cell r="P427">
            <v>89</v>
          </cell>
          <cell r="Q427">
            <v>272</v>
          </cell>
          <cell r="R427">
            <v>1</v>
          </cell>
          <cell r="S427">
            <v>0</v>
          </cell>
          <cell r="T427">
            <v>0</v>
          </cell>
          <cell r="U427">
            <v>5.9001093429158109</v>
          </cell>
          <cell r="V427">
            <v>1.1417689247320228</v>
          </cell>
          <cell r="W427" t="str">
            <v>ความเสี่ยงต่ำ</v>
          </cell>
        </row>
        <row r="428">
          <cell r="A428">
            <v>580203</v>
          </cell>
          <cell r="B428" t="str">
            <v>นาย</v>
          </cell>
          <cell r="C428" t="str">
            <v>หฤษฎ์เกษม</v>
          </cell>
          <cell r="D428" t="str">
            <v>เดชพละ</v>
          </cell>
          <cell r="E428" t="str">
            <v>คผ.D ปผ.</v>
          </cell>
          <cell r="F428" t="str">
            <v>Operation</v>
          </cell>
          <cell r="G428">
            <v>36.991101984941821</v>
          </cell>
          <cell r="H428" t="str">
            <v>Male</v>
          </cell>
          <cell r="I428" t="str">
            <v>ไม่สูบ</v>
          </cell>
          <cell r="J428">
            <v>127</v>
          </cell>
          <cell r="K428">
            <v>171.5</v>
          </cell>
          <cell r="L428">
            <v>72.900000000000006</v>
          </cell>
          <cell r="M428">
            <v>24.785591037747878</v>
          </cell>
          <cell r="N428">
            <v>81</v>
          </cell>
          <cell r="O428" t="str">
            <v>ไม่มี</v>
          </cell>
          <cell r="P428">
            <v>74</v>
          </cell>
          <cell r="Q428">
            <v>303</v>
          </cell>
          <cell r="R428">
            <v>1</v>
          </cell>
          <cell r="S428">
            <v>0</v>
          </cell>
          <cell r="T428">
            <v>0</v>
          </cell>
          <cell r="U428">
            <v>6.711011875427789</v>
          </cell>
          <cell r="V428">
            <v>2.5505954731475655</v>
          </cell>
          <cell r="W428" t="str">
            <v>ความเสี่ยงต่ำ</v>
          </cell>
        </row>
        <row r="429">
          <cell r="A429">
            <v>550214</v>
          </cell>
          <cell r="B429" t="str">
            <v>นาย</v>
          </cell>
          <cell r="C429" t="str">
            <v>ณัฐพงษ์</v>
          </cell>
          <cell r="D429" t="str">
            <v>ศรีไชยวาน</v>
          </cell>
          <cell r="E429" t="str">
            <v>อท.บรก.</v>
          </cell>
          <cell r="F429" t="str">
            <v>Support</v>
          </cell>
          <cell r="G429">
            <v>34.264202600958249</v>
          </cell>
          <cell r="H429" t="str">
            <v>Male</v>
          </cell>
          <cell r="I429" t="str">
            <v>ไม่สูบ</v>
          </cell>
          <cell r="J429">
            <v>114</v>
          </cell>
          <cell r="K429">
            <v>168.5</v>
          </cell>
          <cell r="L429">
            <v>69.5</v>
          </cell>
          <cell r="M429">
            <v>24.47851086123854</v>
          </cell>
          <cell r="N429">
            <v>87</v>
          </cell>
          <cell r="O429" t="str">
            <v>ไม่มี</v>
          </cell>
          <cell r="P429">
            <v>79</v>
          </cell>
          <cell r="Q429">
            <v>239</v>
          </cell>
          <cell r="R429">
            <v>1</v>
          </cell>
          <cell r="S429">
            <v>0</v>
          </cell>
          <cell r="T429">
            <v>0</v>
          </cell>
          <cell r="U429">
            <v>6.0812696988364143</v>
          </cell>
          <cell r="V429">
            <v>1.366976220484506</v>
          </cell>
          <cell r="W429" t="str">
            <v>ความเสี่ยงต่ำ</v>
          </cell>
        </row>
        <row r="430">
          <cell r="A430">
            <v>490132</v>
          </cell>
          <cell r="B430" t="str">
            <v>นาย</v>
          </cell>
          <cell r="C430" t="str">
            <v>กัญภิภัทร</v>
          </cell>
          <cell r="D430" t="str">
            <v>สมการ</v>
          </cell>
          <cell r="E430" t="str">
            <v>คผ.C ปล.</v>
          </cell>
          <cell r="F430" t="str">
            <v>Operation</v>
          </cell>
          <cell r="G430">
            <v>40.930869267624914</v>
          </cell>
          <cell r="H430" t="str">
            <v>Male</v>
          </cell>
          <cell r="I430" t="str">
            <v>ไม่สูบ</v>
          </cell>
          <cell r="J430">
            <v>122</v>
          </cell>
          <cell r="K430">
            <v>167</v>
          </cell>
          <cell r="L430">
            <v>67.2</v>
          </cell>
          <cell r="M430">
            <v>24.095521531786726</v>
          </cell>
          <cell r="N430">
            <v>82</v>
          </cell>
          <cell r="O430" t="str">
            <v>ไม่มี</v>
          </cell>
          <cell r="P430">
            <v>104</v>
          </cell>
          <cell r="Q430">
            <v>244</v>
          </cell>
          <cell r="R430">
            <v>1</v>
          </cell>
          <cell r="S430">
            <v>0</v>
          </cell>
          <cell r="T430">
            <v>0</v>
          </cell>
          <cell r="U430">
            <v>6.8041230321697466</v>
          </cell>
          <cell r="V430">
            <v>2.7959811194440798</v>
          </cell>
          <cell r="W430" t="str">
            <v>ความเสี่ยงต่ำ</v>
          </cell>
        </row>
        <row r="431">
          <cell r="A431">
            <v>340018</v>
          </cell>
          <cell r="B431" t="str">
            <v>นาย</v>
          </cell>
          <cell r="C431" t="str">
            <v>อำนาจ</v>
          </cell>
          <cell r="D431" t="str">
            <v>สุขสุเมฆ</v>
          </cell>
          <cell r="E431" t="str">
            <v>บง.วบก.</v>
          </cell>
          <cell r="F431" t="str">
            <v>Maintenance</v>
          </cell>
          <cell r="G431">
            <v>57.067761806981522</v>
          </cell>
          <cell r="H431" t="str">
            <v>Male</v>
          </cell>
          <cell r="I431" t="str">
            <v>ไม่สูบ</v>
          </cell>
          <cell r="J431">
            <v>109</v>
          </cell>
          <cell r="K431">
            <v>168</v>
          </cell>
          <cell r="L431">
            <v>81</v>
          </cell>
          <cell r="M431">
            <v>28.698979591836732</v>
          </cell>
          <cell r="N431">
            <v>95</v>
          </cell>
          <cell r="O431" t="str">
            <v>ไตเรื้อรัง</v>
          </cell>
          <cell r="P431">
            <v>83</v>
          </cell>
          <cell r="Q431">
            <v>223</v>
          </cell>
          <cell r="R431">
            <v>1</v>
          </cell>
          <cell r="S431">
            <v>0</v>
          </cell>
          <cell r="T431">
            <v>0</v>
          </cell>
          <cell r="U431">
            <v>7.8091649486652983</v>
          </cell>
          <cell r="V431">
            <v>7.4549863620260393</v>
          </cell>
          <cell r="W431" t="str">
            <v>ความเสี่ยงต่ำ</v>
          </cell>
        </row>
        <row r="432">
          <cell r="A432">
            <v>610040</v>
          </cell>
          <cell r="B432" t="str">
            <v>นาย</v>
          </cell>
          <cell r="C432" t="str">
            <v>ภานุวัฒน์</v>
          </cell>
          <cell r="D432" t="str">
            <v>โต๊ะสกุล</v>
          </cell>
          <cell r="E432" t="str">
            <v>วผ.ทผก.</v>
          </cell>
          <cell r="F432" t="str">
            <v>Support</v>
          </cell>
          <cell r="G432">
            <v>33.163586584531146</v>
          </cell>
          <cell r="H432" t="str">
            <v>Male</v>
          </cell>
          <cell r="I432" t="str">
            <v>ไม่สูบ</v>
          </cell>
          <cell r="J432">
            <v>134</v>
          </cell>
          <cell r="K432">
            <v>175</v>
          </cell>
          <cell r="L432">
            <v>93.6</v>
          </cell>
          <cell r="M432">
            <v>30.563265306122446</v>
          </cell>
          <cell r="N432">
            <v>102</v>
          </cell>
          <cell r="O432" t="str">
            <v>ไม่มี</v>
          </cell>
          <cell r="P432">
            <v>83</v>
          </cell>
          <cell r="Q432">
            <v>293</v>
          </cell>
          <cell r="R432">
            <v>1</v>
          </cell>
          <cell r="S432">
            <v>0</v>
          </cell>
          <cell r="T432">
            <v>0</v>
          </cell>
          <cell r="U432">
            <v>6.5224862902121838</v>
          </cell>
          <cell r="V432">
            <v>2.117025808313111</v>
          </cell>
          <cell r="W432" t="str">
            <v>ความเสี่ยงต่ำ</v>
          </cell>
        </row>
        <row r="433">
          <cell r="A433">
            <v>660053</v>
          </cell>
          <cell r="B433" t="str">
            <v>นาย</v>
          </cell>
          <cell r="C433" t="str">
            <v>ไททันส์</v>
          </cell>
          <cell r="D433" t="str">
            <v>มาเสถียร</v>
          </cell>
          <cell r="E433" t="str">
            <v>ผ.ปก.A คธ.</v>
          </cell>
          <cell r="F433" t="str">
            <v>Operation</v>
          </cell>
          <cell r="G433">
            <v>24.194387405886374</v>
          </cell>
          <cell r="H433" t="str">
            <v>Male</v>
          </cell>
          <cell r="I433" t="str">
            <v>ไม่สูบ</v>
          </cell>
          <cell r="J433">
            <v>125</v>
          </cell>
          <cell r="K433">
            <v>178.5</v>
          </cell>
          <cell r="L433">
            <v>86.5</v>
          </cell>
          <cell r="M433">
            <v>27.148114147619829</v>
          </cell>
          <cell r="N433">
            <v>86</v>
          </cell>
          <cell r="O433" t="str">
            <v>ภูมิแพ้ผิวหนัง</v>
          </cell>
          <cell r="P433">
            <v>89</v>
          </cell>
          <cell r="Q433">
            <v>147</v>
          </cell>
          <cell r="R433">
            <v>1</v>
          </cell>
          <cell r="S433">
            <v>0</v>
          </cell>
          <cell r="T433">
            <v>0</v>
          </cell>
          <cell r="U433">
            <v>5.2914567214236818</v>
          </cell>
          <cell r="V433">
            <v>0.62284348989487537</v>
          </cell>
          <cell r="W433" t="str">
            <v>ความเสี่ยงต่ำ</v>
          </cell>
        </row>
        <row r="434">
          <cell r="A434">
            <v>570165</v>
          </cell>
          <cell r="B434" t="str">
            <v>นาย</v>
          </cell>
          <cell r="C434" t="str">
            <v>สกล</v>
          </cell>
          <cell r="D434" t="str">
            <v>ศีลส่องหล้า</v>
          </cell>
          <cell r="E434" t="str">
            <v>กผ.ทผก.</v>
          </cell>
          <cell r="F434" t="str">
            <v>Support</v>
          </cell>
          <cell r="G434">
            <v>35.208761122518816</v>
          </cell>
          <cell r="H434" t="str">
            <v>Male</v>
          </cell>
          <cell r="I434" t="str">
            <v>ไม่สูบ</v>
          </cell>
          <cell r="J434">
            <v>127</v>
          </cell>
          <cell r="K434">
            <v>174</v>
          </cell>
          <cell r="L434">
            <v>77.900000000000006</v>
          </cell>
          <cell r="M434">
            <v>25.729951116395824</v>
          </cell>
          <cell r="N434">
            <v>87</v>
          </cell>
          <cell r="O434" t="str">
            <v>โรคความดันโลหิตสูง, ไวรัสตับอักเสบบี</v>
          </cell>
          <cell r="P434">
            <v>88</v>
          </cell>
          <cell r="Q434">
            <v>258</v>
          </cell>
          <cell r="R434">
            <v>1</v>
          </cell>
          <cell r="S434">
            <v>0</v>
          </cell>
          <cell r="T434">
            <v>0</v>
          </cell>
          <cell r="U434">
            <v>6.4697629226557147</v>
          </cell>
          <cell r="V434">
            <v>2.0094004017901179</v>
          </cell>
          <cell r="W434" t="str">
            <v>ความเสี่ยงต่ำ</v>
          </cell>
        </row>
        <row r="435">
          <cell r="A435">
            <v>620017</v>
          </cell>
          <cell r="B435" t="str">
            <v>นาย</v>
          </cell>
          <cell r="C435" t="str">
            <v>จิรายุทธ์</v>
          </cell>
          <cell r="D435" t="str">
            <v>กังวีระนนท์</v>
          </cell>
          <cell r="E435" t="str">
            <v>ผ.จด.พย.</v>
          </cell>
          <cell r="F435" t="str">
            <v>Support</v>
          </cell>
          <cell r="G435">
            <v>33.360711841204655</v>
          </cell>
          <cell r="H435" t="str">
            <v>Male</v>
          </cell>
          <cell r="I435" t="str">
            <v>ไม่สูบ</v>
          </cell>
          <cell r="J435">
            <v>135</v>
          </cell>
          <cell r="K435">
            <v>174</v>
          </cell>
          <cell r="L435">
            <v>74.900000000000006</v>
          </cell>
          <cell r="M435">
            <v>24.739067247985204</v>
          </cell>
          <cell r="N435">
            <v>88</v>
          </cell>
          <cell r="O435" t="str">
            <v>ไม่มี</v>
          </cell>
          <cell r="P435">
            <v>80</v>
          </cell>
          <cell r="Q435">
            <v>251</v>
          </cell>
          <cell r="R435">
            <v>1</v>
          </cell>
          <cell r="S435">
            <v>0</v>
          </cell>
          <cell r="T435">
            <v>0</v>
          </cell>
          <cell r="U435">
            <v>6.4704170499657767</v>
          </cell>
          <cell r="V435">
            <v>2.0107019272957549</v>
          </cell>
          <cell r="W435" t="str">
            <v>ความเสี่ยงต่ำ</v>
          </cell>
        </row>
        <row r="436">
          <cell r="A436">
            <v>340096</v>
          </cell>
          <cell r="B436" t="str">
            <v>นาย</v>
          </cell>
          <cell r="C436" t="str">
            <v>ปกรณ์</v>
          </cell>
          <cell r="D436" t="str">
            <v>คุณสารวนิช</v>
          </cell>
          <cell r="E436" t="str">
            <v>ผ.จด.พย.</v>
          </cell>
          <cell r="F436" t="str">
            <v>Support</v>
          </cell>
          <cell r="G436">
            <v>55.93429158110883</v>
          </cell>
          <cell r="H436" t="str">
            <v>Male</v>
          </cell>
          <cell r="I436" t="str">
            <v>ไม่สูบ</v>
          </cell>
          <cell r="J436">
            <v>108</v>
          </cell>
          <cell r="K436">
            <v>179.5</v>
          </cell>
          <cell r="L436">
            <v>78.8</v>
          </cell>
          <cell r="M436">
            <v>24.456669330622823</v>
          </cell>
          <cell r="N436">
            <v>91</v>
          </cell>
          <cell r="O436" t="str">
            <v>โรคภูมิแพ้</v>
          </cell>
          <cell r="P436">
            <v>86</v>
          </cell>
          <cell r="Q436">
            <v>260</v>
          </cell>
          <cell r="R436">
            <v>1</v>
          </cell>
          <cell r="S436">
            <v>0</v>
          </cell>
          <cell r="T436">
            <v>0</v>
          </cell>
          <cell r="U436">
            <v>7.7740130800821357</v>
          </cell>
          <cell r="V436">
            <v>7.206996668642363</v>
          </cell>
          <cell r="W436" t="str">
            <v>ความเสี่ยงต่ำ</v>
          </cell>
        </row>
        <row r="437">
          <cell r="A437">
            <v>630026</v>
          </cell>
          <cell r="B437" t="str">
            <v>นาย</v>
          </cell>
          <cell r="C437" t="str">
            <v>วรธร</v>
          </cell>
          <cell r="D437" t="str">
            <v>เจริญสุข</v>
          </cell>
          <cell r="E437" t="str">
            <v>วผ.ทผก.</v>
          </cell>
          <cell r="F437" t="str">
            <v>Support</v>
          </cell>
          <cell r="G437">
            <v>31.101984941820671</v>
          </cell>
          <cell r="H437" t="str">
            <v>Male</v>
          </cell>
          <cell r="I437" t="str">
            <v>ไม่สูบ</v>
          </cell>
          <cell r="J437">
            <v>131</v>
          </cell>
          <cell r="K437">
            <v>180</v>
          </cell>
          <cell r="L437">
            <v>82.1</v>
          </cell>
          <cell r="M437">
            <v>25.339506172839506</v>
          </cell>
          <cell r="N437">
            <v>85</v>
          </cell>
          <cell r="O437" t="str">
            <v>ไม่มี</v>
          </cell>
          <cell r="P437">
            <v>90</v>
          </cell>
          <cell r="Q437">
            <v>142</v>
          </cell>
          <cell r="R437">
            <v>1</v>
          </cell>
          <cell r="S437">
            <v>0</v>
          </cell>
          <cell r="T437">
            <v>0</v>
          </cell>
          <cell r="U437">
            <v>5.9711454277891853</v>
          </cell>
          <cell r="V437">
            <v>1.2253088921772459</v>
          </cell>
          <cell r="W437" t="str">
            <v>ความเสี่ยงต่ำ</v>
          </cell>
        </row>
        <row r="438">
          <cell r="A438">
            <v>510093</v>
          </cell>
          <cell r="B438" t="str">
            <v>นาย</v>
          </cell>
          <cell r="C438" t="str">
            <v>โอฬาร</v>
          </cell>
          <cell r="D438" t="str">
            <v>ศรีมงคล</v>
          </cell>
          <cell r="E438" t="str">
            <v>ผ.ปก.C ปก.</v>
          </cell>
          <cell r="F438" t="str">
            <v>Operation</v>
          </cell>
          <cell r="G438">
            <v>37.845311430527033</v>
          </cell>
          <cell r="H438" t="str">
            <v>Male</v>
          </cell>
          <cell r="I438" t="str">
            <v>ไม่สูบ</v>
          </cell>
          <cell r="J438">
            <v>143</v>
          </cell>
          <cell r="K438">
            <v>171</v>
          </cell>
          <cell r="L438">
            <v>76.3</v>
          </cell>
          <cell r="M438">
            <v>26.093498854348347</v>
          </cell>
          <cell r="N438">
            <v>91</v>
          </cell>
          <cell r="O438" t="str">
            <v>ไม่มี</v>
          </cell>
          <cell r="P438">
            <v>102</v>
          </cell>
          <cell r="Q438">
            <v>247</v>
          </cell>
          <cell r="R438">
            <v>1</v>
          </cell>
          <cell r="S438">
            <v>0</v>
          </cell>
          <cell r="T438">
            <v>0</v>
          </cell>
          <cell r="U438">
            <v>6.9956318343600277</v>
          </cell>
          <cell r="V438">
            <v>3.3760779256384654</v>
          </cell>
          <cell r="W438" t="str">
            <v>ความเสี่ยงต่ำ</v>
          </cell>
        </row>
        <row r="439">
          <cell r="A439">
            <v>490147</v>
          </cell>
          <cell r="B439" t="str">
            <v>นาย</v>
          </cell>
          <cell r="C439" t="str">
            <v>ณัฐวุฒิ</v>
          </cell>
          <cell r="D439" t="str">
            <v>ปิยะประชากร</v>
          </cell>
          <cell r="E439" t="str">
            <v>ปภ.ผยก.</v>
          </cell>
          <cell r="F439" t="str">
            <v>Support</v>
          </cell>
          <cell r="G439">
            <v>44.353182751540039</v>
          </cell>
          <cell r="H439" t="str">
            <v>Male</v>
          </cell>
          <cell r="I439" t="str">
            <v>ไม่สูบ</v>
          </cell>
          <cell r="J439">
            <v>126</v>
          </cell>
          <cell r="K439">
            <v>177.5</v>
          </cell>
          <cell r="L439">
            <v>86.6</v>
          </cell>
          <cell r="M439">
            <v>27.486609799642927</v>
          </cell>
          <cell r="N439">
            <v>94</v>
          </cell>
          <cell r="O439" t="str">
            <v>โรคเบาหวาน</v>
          </cell>
          <cell r="P439">
            <v>112</v>
          </cell>
          <cell r="Q439">
            <v>125</v>
          </cell>
          <cell r="R439">
            <v>1</v>
          </cell>
          <cell r="S439">
            <v>0</v>
          </cell>
          <cell r="T439">
            <v>1</v>
          </cell>
          <cell r="U439">
            <v>7.6149909445585218</v>
          </cell>
          <cell r="V439">
            <v>6.1809083275948247</v>
          </cell>
          <cell r="W439" t="str">
            <v>ความเสี่ยงต่ำ</v>
          </cell>
        </row>
        <row r="440">
          <cell r="A440">
            <v>580311</v>
          </cell>
          <cell r="B440" t="str">
            <v>นาย</v>
          </cell>
          <cell r="C440" t="str">
            <v>เอกอมร</v>
          </cell>
          <cell r="D440" t="str">
            <v>ศึกษา</v>
          </cell>
          <cell r="E440" t="str">
            <v>ผ.บพ.พย.</v>
          </cell>
          <cell r="F440" t="str">
            <v>Support</v>
          </cell>
          <cell r="G440">
            <v>39.520876112251884</v>
          </cell>
          <cell r="H440" t="str">
            <v>Male</v>
          </cell>
          <cell r="I440" t="str">
            <v>ไม่สูบ</v>
          </cell>
          <cell r="J440">
            <v>125</v>
          </cell>
          <cell r="K440">
            <v>175</v>
          </cell>
          <cell r="L440">
            <v>68.8</v>
          </cell>
          <cell r="M440">
            <v>22.465306122448979</v>
          </cell>
          <cell r="N440">
            <v>81</v>
          </cell>
          <cell r="O440" t="str">
            <v>ไม่มี</v>
          </cell>
          <cell r="P440">
            <v>94</v>
          </cell>
          <cell r="Q440">
            <v>212</v>
          </cell>
          <cell r="R440">
            <v>1</v>
          </cell>
          <cell r="S440">
            <v>0</v>
          </cell>
          <cell r="T440">
            <v>0</v>
          </cell>
          <cell r="U440">
            <v>6.6834232922655721</v>
          </cell>
          <cell r="V440">
            <v>2.4820586196813266</v>
          </cell>
          <cell r="W440" t="str">
            <v>ความเสี่ยงต่ำ</v>
          </cell>
        </row>
        <row r="441">
          <cell r="A441">
            <v>560172</v>
          </cell>
          <cell r="B441" t="str">
            <v>นาย</v>
          </cell>
          <cell r="C441" t="str">
            <v>อภิณัฐ</v>
          </cell>
          <cell r="D441" t="str">
            <v>เอื้อไพโรจน์ถาวร</v>
          </cell>
          <cell r="E441" t="str">
            <v>บค.วบก.</v>
          </cell>
          <cell r="F441" t="str">
            <v>Maintenance</v>
          </cell>
          <cell r="G441">
            <v>34.53798767967146</v>
          </cell>
          <cell r="H441" t="str">
            <v>Male</v>
          </cell>
          <cell r="I441" t="str">
            <v>ไม่ระบุ</v>
          </cell>
          <cell r="J441">
            <v>130</v>
          </cell>
          <cell r="K441">
            <v>168</v>
          </cell>
          <cell r="L441">
            <v>66.599999999999994</v>
          </cell>
          <cell r="M441">
            <v>23.596938775510203</v>
          </cell>
          <cell r="N441">
            <v>86</v>
          </cell>
          <cell r="O441" t="str">
            <v>โรคภูมิแพ้</v>
          </cell>
          <cell r="P441">
            <v>88</v>
          </cell>
          <cell r="Q441">
            <v>250</v>
          </cell>
          <cell r="R441">
            <v>1</v>
          </cell>
          <cell r="S441">
            <v>1</v>
          </cell>
          <cell r="T441">
            <v>0</v>
          </cell>
          <cell r="U441">
            <v>6.8795935318275161</v>
          </cell>
          <cell r="V441">
            <v>3.0118289344246429</v>
          </cell>
          <cell r="W441" t="str">
            <v>ความเสี่ยงต่ำ</v>
          </cell>
        </row>
        <row r="442">
          <cell r="A442">
            <v>330078</v>
          </cell>
          <cell r="B442" t="str">
            <v>นาย</v>
          </cell>
          <cell r="C442" t="str">
            <v>ปรีชา</v>
          </cell>
          <cell r="D442" t="str">
            <v>ตระกูลรัมย์</v>
          </cell>
          <cell r="E442" t="str">
            <v>บค.วบก.</v>
          </cell>
          <cell r="F442" t="str">
            <v>Maintenance</v>
          </cell>
          <cell r="G442">
            <v>54.986995208761115</v>
          </cell>
          <cell r="H442" t="str">
            <v>Male</v>
          </cell>
          <cell r="I442" t="str">
            <v>ไม่สูบ</v>
          </cell>
          <cell r="J442">
            <v>119</v>
          </cell>
          <cell r="K442">
            <v>169</v>
          </cell>
          <cell r="L442">
            <v>61.8</v>
          </cell>
          <cell r="M442">
            <v>21.637897832708941</v>
          </cell>
          <cell r="N442">
            <v>84</v>
          </cell>
          <cell r="O442" t="str">
            <v>โรคกระเพาะอาหาร</v>
          </cell>
          <cell r="P442">
            <v>81</v>
          </cell>
          <cell r="Q442">
            <v>278</v>
          </cell>
          <cell r="R442">
            <v>1</v>
          </cell>
          <cell r="S442">
            <v>0</v>
          </cell>
          <cell r="T442">
            <v>0</v>
          </cell>
          <cell r="U442">
            <v>7.9638958179329222</v>
          </cell>
          <cell r="V442">
            <v>8.64708444286466</v>
          </cell>
          <cell r="W442" t="str">
            <v>ความเสี่ยงต่ำ</v>
          </cell>
        </row>
        <row r="443">
          <cell r="A443">
            <v>550057</v>
          </cell>
          <cell r="B443" t="str">
            <v>นางสาว</v>
          </cell>
          <cell r="C443" t="str">
            <v>เบญจพร</v>
          </cell>
          <cell r="D443" t="str">
            <v>พุ่มลำเจียก</v>
          </cell>
          <cell r="E443" t="str">
            <v>พน.บรก.</v>
          </cell>
          <cell r="F443" t="str">
            <v>Support</v>
          </cell>
          <cell r="G443">
            <v>38.255989048596845</v>
          </cell>
          <cell r="H443" t="str">
            <v>Female</v>
          </cell>
          <cell r="I443" t="str">
            <v>ไม่สูบ</v>
          </cell>
          <cell r="J443">
            <v>135</v>
          </cell>
          <cell r="K443">
            <v>159</v>
          </cell>
          <cell r="L443">
            <v>82.3</v>
          </cell>
          <cell r="M443">
            <v>32.554092005854201</v>
          </cell>
          <cell r="N443">
            <v>94</v>
          </cell>
          <cell r="O443" t="str">
            <v>ไม่มี</v>
          </cell>
          <cell r="P443">
            <v>89</v>
          </cell>
          <cell r="Q443">
            <v>229</v>
          </cell>
          <cell r="R443">
            <v>0</v>
          </cell>
          <cell r="S443">
            <v>0</v>
          </cell>
          <cell r="T443">
            <v>0</v>
          </cell>
          <cell r="U443">
            <v>6.4293675838466795</v>
          </cell>
          <cell r="V443">
            <v>1.930620615140477</v>
          </cell>
          <cell r="W443" t="str">
            <v>ความเสี่ยงต่ำ</v>
          </cell>
        </row>
        <row r="444">
          <cell r="A444">
            <v>600096</v>
          </cell>
          <cell r="B444" t="str">
            <v>นาย</v>
          </cell>
          <cell r="C444" t="str">
            <v>เมธา</v>
          </cell>
          <cell r="D444" t="str">
            <v>ศรีแก่นแก้ว</v>
          </cell>
          <cell r="E444" t="str">
            <v>ผบ.วบก.</v>
          </cell>
          <cell r="F444" t="str">
            <v>Maintenance</v>
          </cell>
          <cell r="G444">
            <v>31.718001368925393</v>
          </cell>
          <cell r="H444" t="str">
            <v>Male</v>
          </cell>
          <cell r="I444" t="str">
            <v>ไม่สูบ</v>
          </cell>
          <cell r="J444">
            <v>124</v>
          </cell>
          <cell r="K444">
            <v>176</v>
          </cell>
          <cell r="L444">
            <v>66.099999999999994</v>
          </cell>
          <cell r="M444">
            <v>21.339101239669422</v>
          </cell>
          <cell r="N444">
            <v>83</v>
          </cell>
          <cell r="O444" t="str">
            <v>ไม่มี</v>
          </cell>
          <cell r="P444">
            <v>86</v>
          </cell>
          <cell r="Q444">
            <v>206</v>
          </cell>
          <cell r="R444">
            <v>1</v>
          </cell>
          <cell r="S444">
            <v>0</v>
          </cell>
          <cell r="T444">
            <v>0</v>
          </cell>
          <cell r="U444">
            <v>6.0113540520191657</v>
          </cell>
          <cell r="V444">
            <v>1.2752588932557596</v>
          </cell>
          <cell r="W444" t="str">
            <v>ความเสี่ยงต่ำ</v>
          </cell>
        </row>
        <row r="445">
          <cell r="A445">
            <v>470061</v>
          </cell>
          <cell r="B445" t="str">
            <v>นาย</v>
          </cell>
          <cell r="C445" t="str">
            <v>ภาณุพันธ์</v>
          </cell>
          <cell r="D445" t="str">
            <v>ออกช่อ</v>
          </cell>
          <cell r="E445" t="str">
            <v>คผ.C ปต.</v>
          </cell>
          <cell r="F445" t="str">
            <v>Operation</v>
          </cell>
          <cell r="G445">
            <v>44.566735112936342</v>
          </cell>
          <cell r="H445" t="str">
            <v>Male</v>
          </cell>
          <cell r="I445" t="str">
            <v>ไม่ระบุ</v>
          </cell>
          <cell r="J445">
            <v>129</v>
          </cell>
          <cell r="K445">
            <v>169.5</v>
          </cell>
          <cell r="L445">
            <v>59.5</v>
          </cell>
          <cell r="M445">
            <v>20.70987896032927</v>
          </cell>
          <cell r="N445">
            <v>81</v>
          </cell>
          <cell r="O445" t="str">
            <v>ไม่มี</v>
          </cell>
          <cell r="P445">
            <v>78</v>
          </cell>
          <cell r="Q445">
            <v>203</v>
          </cell>
          <cell r="R445">
            <v>1</v>
          </cell>
          <cell r="S445">
            <v>1</v>
          </cell>
          <cell r="T445">
            <v>0</v>
          </cell>
          <cell r="U445">
            <v>7.5797659342915811</v>
          </cell>
          <cell r="V445">
            <v>5.9734989267386958</v>
          </cell>
          <cell r="W445" t="str">
            <v>ความเสี่ยงต่ำ</v>
          </cell>
        </row>
        <row r="446">
          <cell r="A446">
            <v>550187</v>
          </cell>
          <cell r="B446" t="str">
            <v>นาย</v>
          </cell>
          <cell r="C446" t="str">
            <v>คุณณา</v>
          </cell>
          <cell r="D446" t="str">
            <v>รัตนาวดี</v>
          </cell>
          <cell r="E446" t="str">
            <v>ผ.ปก.B ปอ.</v>
          </cell>
          <cell r="F446" t="str">
            <v>Operation</v>
          </cell>
          <cell r="G446">
            <v>33.286789869952081</v>
          </cell>
          <cell r="H446" t="str">
            <v>Male</v>
          </cell>
          <cell r="I446" t="str">
            <v>ไม่ระบุ</v>
          </cell>
          <cell r="J446">
            <v>118</v>
          </cell>
          <cell r="K446">
            <v>183.5</v>
          </cell>
          <cell r="L446">
            <v>77.400000000000006</v>
          </cell>
          <cell r="M446">
            <v>22.986286927662988</v>
          </cell>
          <cell r="N446">
            <v>83</v>
          </cell>
          <cell r="O446" t="str">
            <v>ไม่มี</v>
          </cell>
          <cell r="P446">
            <v>73</v>
          </cell>
          <cell r="Q446">
            <v>172</v>
          </cell>
          <cell r="R446">
            <v>1</v>
          </cell>
          <cell r="S446">
            <v>1</v>
          </cell>
          <cell r="T446">
            <v>0</v>
          </cell>
          <cell r="U446">
            <v>6.3617680150581783</v>
          </cell>
          <cell r="V446">
            <v>1.8055713715167898</v>
          </cell>
          <cell r="W446" t="str">
            <v>ความเสี่ยงต่ำ</v>
          </cell>
        </row>
        <row r="447">
          <cell r="A447">
            <v>540230</v>
          </cell>
          <cell r="B447" t="str">
            <v>นาย</v>
          </cell>
          <cell r="C447" t="str">
            <v>ทศพร</v>
          </cell>
          <cell r="D447" t="str">
            <v>ทองมา</v>
          </cell>
          <cell r="E447" t="str">
            <v>คผ.A ปผ.</v>
          </cell>
          <cell r="F447" t="str">
            <v>Operation</v>
          </cell>
          <cell r="G447">
            <v>37.787816563997261</v>
          </cell>
          <cell r="H447" t="str">
            <v>Male</v>
          </cell>
          <cell r="I447" t="str">
            <v>ไม่สูบ</v>
          </cell>
          <cell r="J447">
            <v>142</v>
          </cell>
          <cell r="K447">
            <v>177</v>
          </cell>
          <cell r="L447">
            <v>109.2</v>
          </cell>
          <cell r="M447">
            <v>34.855884324427848</v>
          </cell>
          <cell r="N447">
            <v>113</v>
          </cell>
          <cell r="O447" t="str">
            <v>ไม่มี</v>
          </cell>
          <cell r="P447">
            <v>109</v>
          </cell>
          <cell r="Q447">
            <v>183</v>
          </cell>
          <cell r="R447">
            <v>1</v>
          </cell>
          <cell r="S447">
            <v>0</v>
          </cell>
          <cell r="T447">
            <v>0</v>
          </cell>
          <cell r="U447">
            <v>6.8344070294318957</v>
          </cell>
          <cell r="V447">
            <v>2.8806996372692684</v>
          </cell>
          <cell r="W447" t="str">
            <v>ความเสี่ยงต่ำ</v>
          </cell>
        </row>
        <row r="448">
          <cell r="A448">
            <v>550089</v>
          </cell>
          <cell r="B448" t="str">
            <v>นาย</v>
          </cell>
          <cell r="C448" t="str">
            <v>ศิริพงษ์</v>
          </cell>
          <cell r="D448" t="str">
            <v>พะนิรัมย์</v>
          </cell>
          <cell r="E448" t="str">
            <v>บค.วบก.</v>
          </cell>
          <cell r="F448" t="str">
            <v>Maintenance</v>
          </cell>
          <cell r="G448">
            <v>39.482546201232033</v>
          </cell>
          <cell r="H448" t="str">
            <v>Male</v>
          </cell>
          <cell r="I448" t="str">
            <v>ไม่สูบ</v>
          </cell>
          <cell r="J448">
            <v>108</v>
          </cell>
          <cell r="K448">
            <v>179</v>
          </cell>
          <cell r="L448">
            <v>72.099999999999994</v>
          </cell>
          <cell r="M448">
            <v>22.502418775943323</v>
          </cell>
          <cell r="N448">
            <v>82</v>
          </cell>
          <cell r="O448" t="str">
            <v>ไม่มี</v>
          </cell>
          <cell r="P448">
            <v>86</v>
          </cell>
          <cell r="Q448">
            <v>178</v>
          </cell>
          <cell r="R448">
            <v>1</v>
          </cell>
          <cell r="S448">
            <v>0</v>
          </cell>
          <cell r="T448">
            <v>0</v>
          </cell>
          <cell r="U448">
            <v>6.2539267556468179</v>
          </cell>
          <cell r="V448">
            <v>1.6224940435410895</v>
          </cell>
          <cell r="W448" t="str">
            <v>ความเสี่ยงต่ำ</v>
          </cell>
        </row>
        <row r="449">
          <cell r="A449">
            <v>540231</v>
          </cell>
          <cell r="B449" t="str">
            <v>นาย</v>
          </cell>
          <cell r="C449" t="str">
            <v>อภิวิชญ์</v>
          </cell>
          <cell r="D449" t="str">
            <v>มลิชัย</v>
          </cell>
          <cell r="E449" t="str">
            <v>วก.วบก.</v>
          </cell>
          <cell r="F449" t="str">
            <v>Maintenance</v>
          </cell>
          <cell r="G449">
            <v>37.85352498288843</v>
          </cell>
          <cell r="H449" t="str">
            <v>Male</v>
          </cell>
          <cell r="I449" t="str">
            <v>ไม่ระบุ</v>
          </cell>
          <cell r="J449">
            <v>105</v>
          </cell>
          <cell r="K449">
            <v>191.5</v>
          </cell>
          <cell r="L449">
            <v>79.599999999999994</v>
          </cell>
          <cell r="M449">
            <v>21.705785709903264</v>
          </cell>
          <cell r="N449">
            <v>92</v>
          </cell>
          <cell r="O449" t="str">
            <v>ไม่มี</v>
          </cell>
          <cell r="P449">
            <v>86</v>
          </cell>
          <cell r="Q449">
            <v>176</v>
          </cell>
          <cell r="R449">
            <v>1</v>
          </cell>
          <cell r="S449">
            <v>1</v>
          </cell>
          <cell r="T449">
            <v>0</v>
          </cell>
          <cell r="U449">
            <v>6.4730239493497601</v>
          </cell>
          <cell r="V449">
            <v>2.0158972019512555</v>
          </cell>
          <cell r="W449" t="str">
            <v>ความเสี่ยงต่ำ</v>
          </cell>
        </row>
        <row r="450">
          <cell r="A450">
            <v>470104</v>
          </cell>
          <cell r="B450" t="str">
            <v>นาย</v>
          </cell>
          <cell r="C450" t="str">
            <v>อนุพงษ์</v>
          </cell>
          <cell r="D450" t="str">
            <v>สีหะวงษ์</v>
          </cell>
          <cell r="E450" t="str">
            <v>คผ.A ปผ.</v>
          </cell>
          <cell r="F450" t="str">
            <v>Operation</v>
          </cell>
          <cell r="G450">
            <v>44.763860369609858</v>
          </cell>
          <cell r="H450" t="str">
            <v>Male</v>
          </cell>
          <cell r="I450" t="str">
            <v>ไม่สูบ</v>
          </cell>
          <cell r="J450">
            <v>133</v>
          </cell>
          <cell r="K450">
            <v>175</v>
          </cell>
          <cell r="L450">
            <v>91.6</v>
          </cell>
          <cell r="M450">
            <v>29.910204081632653</v>
          </cell>
          <cell r="N450">
            <v>96</v>
          </cell>
          <cell r="O450" t="str">
            <v>ไม่มี</v>
          </cell>
          <cell r="P450">
            <v>93</v>
          </cell>
          <cell r="Q450">
            <v>217</v>
          </cell>
          <cell r="R450">
            <v>1</v>
          </cell>
          <cell r="S450">
            <v>0</v>
          </cell>
          <cell r="T450">
            <v>0</v>
          </cell>
          <cell r="U450">
            <v>7.2897766940451749</v>
          </cell>
          <cell r="V450">
            <v>4.5042727915862057</v>
          </cell>
          <cell r="W450" t="str">
            <v>ความเสี่ยงต่ำ</v>
          </cell>
        </row>
        <row r="451">
          <cell r="A451">
            <v>560179</v>
          </cell>
          <cell r="B451" t="str">
            <v>นาย</v>
          </cell>
          <cell r="C451" t="str">
            <v>ตนัย</v>
          </cell>
          <cell r="D451" t="str">
            <v>ช่วยบำรุง</v>
          </cell>
          <cell r="E451" t="str">
            <v>วก.วบก.</v>
          </cell>
          <cell r="F451" t="str">
            <v>Maintenance</v>
          </cell>
          <cell r="G451">
            <v>37.497604380561256</v>
          </cell>
          <cell r="H451" t="str">
            <v>Male</v>
          </cell>
          <cell r="I451" t="str">
            <v>ไม่สูบ</v>
          </cell>
          <cell r="J451">
            <v>120</v>
          </cell>
          <cell r="K451">
            <v>172.5</v>
          </cell>
          <cell r="L451">
            <v>75.599999999999994</v>
          </cell>
          <cell r="M451">
            <v>25.406427221172024</v>
          </cell>
          <cell r="N451">
            <v>83</v>
          </cell>
          <cell r="O451" t="str">
            <v>ไม่มี</v>
          </cell>
          <cell r="P451">
            <v>87</v>
          </cell>
          <cell r="Q451">
            <v>236</v>
          </cell>
          <cell r="R451">
            <v>1</v>
          </cell>
          <cell r="S451">
            <v>0</v>
          </cell>
          <cell r="T451">
            <v>0</v>
          </cell>
          <cell r="U451">
            <v>6.464538966461328</v>
          </cell>
          <cell r="V451">
            <v>1.9990361046569372</v>
          </cell>
          <cell r="W451" t="str">
            <v>ความเสี่ยงต่ำ</v>
          </cell>
        </row>
        <row r="452">
          <cell r="A452">
            <v>480242</v>
          </cell>
          <cell r="B452" t="str">
            <v>นาย</v>
          </cell>
          <cell r="C452" t="str">
            <v>ธงชัย</v>
          </cell>
          <cell r="D452" t="str">
            <v>รอดนางรอง</v>
          </cell>
          <cell r="E452" t="str">
            <v>คผ.A ปล.</v>
          </cell>
          <cell r="F452" t="str">
            <v>Operation</v>
          </cell>
          <cell r="G452">
            <v>41.768651608487339</v>
          </cell>
          <cell r="H452" t="str">
            <v>Male</v>
          </cell>
          <cell r="I452" t="str">
            <v>ไม่สูบ</v>
          </cell>
          <cell r="J452">
            <v>121</v>
          </cell>
          <cell r="K452">
            <v>175</v>
          </cell>
          <cell r="L452">
            <v>82.5</v>
          </cell>
          <cell r="M452">
            <v>26.938775510204081</v>
          </cell>
          <cell r="N452">
            <v>96</v>
          </cell>
          <cell r="O452" t="str">
            <v>ไขมันในเลือดสูง มีปัญหาลิ้นหัวใจ</v>
          </cell>
          <cell r="P452">
            <v>81</v>
          </cell>
          <cell r="Q452">
            <v>163</v>
          </cell>
          <cell r="R452">
            <v>1</v>
          </cell>
          <cell r="S452">
            <v>0</v>
          </cell>
          <cell r="T452">
            <v>0</v>
          </cell>
          <cell r="U452">
            <v>6.680118761122519</v>
          </cell>
          <cell r="V452">
            <v>2.4739722545416121</v>
          </cell>
          <cell r="W452" t="str">
            <v>ความเสี่ยงต่ำ</v>
          </cell>
        </row>
        <row r="453">
          <cell r="A453">
            <v>600052</v>
          </cell>
          <cell r="B453" t="str">
            <v>นาย</v>
          </cell>
          <cell r="C453" t="str">
            <v>ธนพนธ์</v>
          </cell>
          <cell r="D453" t="str">
            <v>สุขเกษม</v>
          </cell>
          <cell r="E453" t="str">
            <v>ตร.วบก.</v>
          </cell>
          <cell r="F453" t="str">
            <v>Maintenance</v>
          </cell>
          <cell r="G453">
            <v>33.615331964407936</v>
          </cell>
          <cell r="H453" t="str">
            <v>Male</v>
          </cell>
          <cell r="I453" t="str">
            <v>ไม่สูบ</v>
          </cell>
          <cell r="J453">
            <v>122</v>
          </cell>
          <cell r="K453">
            <v>171.5</v>
          </cell>
          <cell r="L453">
            <v>76.400000000000006</v>
          </cell>
          <cell r="M453">
            <v>25.97557140307185</v>
          </cell>
          <cell r="N453">
            <v>77</v>
          </cell>
          <cell r="O453" t="str">
            <v>ไม่มี</v>
          </cell>
          <cell r="P453">
            <v>83</v>
          </cell>
          <cell r="Q453">
            <v>196</v>
          </cell>
          <cell r="R453">
            <v>1</v>
          </cell>
          <cell r="S453">
            <v>0</v>
          </cell>
          <cell r="T453">
            <v>0</v>
          </cell>
          <cell r="U453">
            <v>6.1037326146475017</v>
          </cell>
          <cell r="V453">
            <v>1.3978119217700646</v>
          </cell>
          <cell r="W453" t="str">
            <v>ความเสี่ยงต่ำ</v>
          </cell>
        </row>
        <row r="454">
          <cell r="A454">
            <v>600053</v>
          </cell>
          <cell r="B454" t="str">
            <v>นาย</v>
          </cell>
          <cell r="C454" t="str">
            <v>กมลนัทธ์</v>
          </cell>
          <cell r="D454" t="str">
            <v>ห่างภัย</v>
          </cell>
          <cell r="E454" t="str">
            <v>วผ.ทผก.</v>
          </cell>
          <cell r="F454" t="str">
            <v>Support</v>
          </cell>
          <cell r="G454">
            <v>34.956878850102662</v>
          </cell>
          <cell r="H454" t="str">
            <v>Male</v>
          </cell>
          <cell r="I454">
            <v>0</v>
          </cell>
          <cell r="J454">
            <v>128</v>
          </cell>
          <cell r="K454">
            <v>164</v>
          </cell>
          <cell r="L454">
            <v>54</v>
          </cell>
          <cell r="M454">
            <v>20.07733491969066</v>
          </cell>
          <cell r="N454">
            <v>72</v>
          </cell>
          <cell r="O454" t="str">
            <v>ไม่มี</v>
          </cell>
          <cell r="P454">
            <v>91</v>
          </cell>
          <cell r="Q454">
            <v>235</v>
          </cell>
          <cell r="R454">
            <v>1</v>
          </cell>
          <cell r="S454">
            <v>1</v>
          </cell>
          <cell r="T454">
            <v>0</v>
          </cell>
          <cell r="U454">
            <v>6.8403913963039003</v>
          </cell>
          <cell r="V454">
            <v>2.8977375166466479</v>
          </cell>
          <cell r="W454" t="str">
            <v>ความเสี่ยงต่ำ</v>
          </cell>
        </row>
        <row r="455">
          <cell r="A455">
            <v>540327</v>
          </cell>
          <cell r="B455" t="str">
            <v>นาย</v>
          </cell>
          <cell r="C455" t="str">
            <v>จตุรงค์</v>
          </cell>
          <cell r="D455" t="str">
            <v>ผ่องสุวรรณ</v>
          </cell>
          <cell r="E455" t="str">
            <v>คผ.D ปผ.</v>
          </cell>
          <cell r="F455" t="str">
            <v>Operation</v>
          </cell>
          <cell r="G455">
            <v>41.073237508555785</v>
          </cell>
          <cell r="H455" t="str">
            <v>Male</v>
          </cell>
          <cell r="I455" t="str">
            <v>ไม่ระบุ</v>
          </cell>
          <cell r="J455">
            <v>136</v>
          </cell>
          <cell r="K455">
            <v>162.5</v>
          </cell>
          <cell r="L455">
            <v>73.5</v>
          </cell>
          <cell r="M455">
            <v>27.834319526627219</v>
          </cell>
          <cell r="N455">
            <v>98</v>
          </cell>
          <cell r="O455" t="str">
            <v>ไม่มี</v>
          </cell>
          <cell r="P455">
            <v>84</v>
          </cell>
          <cell r="Q455">
            <v>250</v>
          </cell>
          <cell r="R455">
            <v>1</v>
          </cell>
          <cell r="S455">
            <v>1</v>
          </cell>
          <cell r="T455">
            <v>0</v>
          </cell>
          <cell r="U455">
            <v>7.5394130253251204</v>
          </cell>
          <cell r="V455">
            <v>5.7441714210272661</v>
          </cell>
          <cell r="W455" t="str">
            <v>ความเสี่ยงต่ำ</v>
          </cell>
        </row>
        <row r="456">
          <cell r="A456">
            <v>660054</v>
          </cell>
          <cell r="B456" t="str">
            <v>นาย</v>
          </cell>
          <cell r="C456" t="str">
            <v>อธิราช</v>
          </cell>
          <cell r="D456" t="str">
            <v>ชาลีชาติ</v>
          </cell>
          <cell r="E456" t="str">
            <v>ผ.ปก.D คธ.</v>
          </cell>
          <cell r="F456" t="str">
            <v>Operation</v>
          </cell>
          <cell r="G456">
            <v>25.754962354551672</v>
          </cell>
          <cell r="H456" t="str">
            <v>Male</v>
          </cell>
          <cell r="I456" t="str">
            <v>ไม่สูบ</v>
          </cell>
          <cell r="J456">
            <v>116</v>
          </cell>
          <cell r="K456">
            <v>179.5</v>
          </cell>
          <cell r="L456">
            <v>84.1</v>
          </cell>
          <cell r="M456">
            <v>26.101597597784</v>
          </cell>
          <cell r="N456">
            <v>83</v>
          </cell>
          <cell r="O456" t="str">
            <v>ไม่มี</v>
          </cell>
          <cell r="P456">
            <v>87</v>
          </cell>
          <cell r="Q456">
            <v>173</v>
          </cell>
          <cell r="R456">
            <v>1</v>
          </cell>
          <cell r="S456">
            <v>0</v>
          </cell>
          <cell r="T456">
            <v>0</v>
          </cell>
          <cell r="U456">
            <v>5.2867185694729635</v>
          </cell>
          <cell r="V456">
            <v>0.61990848768120888</v>
          </cell>
          <cell r="W456" t="str">
            <v>ความเสี่ยงต่ำ</v>
          </cell>
        </row>
        <row r="457">
          <cell r="A457">
            <v>550203</v>
          </cell>
          <cell r="B457" t="str">
            <v>นาย</v>
          </cell>
          <cell r="C457" t="str">
            <v>กวินท์วิชญ์</v>
          </cell>
          <cell r="D457" t="str">
            <v>ชื่นวิเศษ</v>
          </cell>
          <cell r="E457" t="str">
            <v>คผ.A ปล.</v>
          </cell>
          <cell r="F457" t="str">
            <v>Operation</v>
          </cell>
          <cell r="G457">
            <v>33.97672826830938</v>
          </cell>
          <cell r="H457" t="str">
            <v>Male</v>
          </cell>
          <cell r="I457" t="str">
            <v>ไม่สูบ</v>
          </cell>
          <cell r="J457">
            <v>130</v>
          </cell>
          <cell r="K457">
            <v>176.5</v>
          </cell>
          <cell r="L457">
            <v>68</v>
          </cell>
          <cell r="M457">
            <v>21.828278856262386</v>
          </cell>
          <cell r="N457">
            <v>85</v>
          </cell>
          <cell r="O457" t="str">
            <v>ไม่มี</v>
          </cell>
          <cell r="P457">
            <v>86</v>
          </cell>
          <cell r="Q457">
            <v>213</v>
          </cell>
          <cell r="R457">
            <v>1</v>
          </cell>
          <cell r="S457">
            <v>0</v>
          </cell>
          <cell r="T457">
            <v>0</v>
          </cell>
          <cell r="U457">
            <v>6.3360656741957557</v>
          </cell>
          <cell r="V457">
            <v>1.7601609097519955</v>
          </cell>
          <cell r="W457" t="str">
            <v>ความเสี่ยงต่ำ</v>
          </cell>
        </row>
        <row r="458">
          <cell r="A458">
            <v>550076</v>
          </cell>
          <cell r="B458" t="str">
            <v>นาย</v>
          </cell>
          <cell r="C458" t="str">
            <v>ศราวุธ</v>
          </cell>
          <cell r="D458" t="str">
            <v>ยะย่าเป้า</v>
          </cell>
          <cell r="E458" t="str">
            <v>บง.วบก.</v>
          </cell>
          <cell r="F458" t="str">
            <v>Maintenance</v>
          </cell>
          <cell r="G458">
            <v>36.963723477070495</v>
          </cell>
          <cell r="H458" t="str">
            <v>Male</v>
          </cell>
          <cell r="I458" t="str">
            <v>ไม่สูบ</v>
          </cell>
          <cell r="J458">
            <v>114</v>
          </cell>
          <cell r="K458">
            <v>163.5</v>
          </cell>
          <cell r="L458">
            <v>61.9</v>
          </cell>
          <cell r="M458">
            <v>23.155551814755587</v>
          </cell>
          <cell r="N458">
            <v>75</v>
          </cell>
          <cell r="O458" t="str">
            <v>ไม่มี</v>
          </cell>
          <cell r="P458">
            <v>79</v>
          </cell>
          <cell r="Q458">
            <v>226</v>
          </cell>
          <cell r="R458">
            <v>1</v>
          </cell>
          <cell r="S458">
            <v>0</v>
          </cell>
          <cell r="T458">
            <v>0</v>
          </cell>
          <cell r="U458">
            <v>6.2746114921286793</v>
          </cell>
          <cell r="V458">
            <v>1.6561220640930352</v>
          </cell>
          <cell r="W458" t="str">
            <v>ความเสี่ยงต่ำ</v>
          </cell>
        </row>
        <row r="459">
          <cell r="A459">
            <v>560247</v>
          </cell>
          <cell r="B459" t="str">
            <v>นาย</v>
          </cell>
          <cell r="C459" t="str">
            <v>สุทธิเดช</v>
          </cell>
          <cell r="D459" t="str">
            <v>พาจันทร์</v>
          </cell>
          <cell r="E459" t="str">
            <v>ผ.ปก.D ปก.</v>
          </cell>
          <cell r="F459" t="str">
            <v>Operation</v>
          </cell>
          <cell r="G459">
            <v>33.497604380561256</v>
          </cell>
          <cell r="H459" t="str">
            <v>Male</v>
          </cell>
          <cell r="I459" t="str">
            <v>ไม่สูบ</v>
          </cell>
          <cell r="J459">
            <v>137</v>
          </cell>
          <cell r="K459">
            <v>180</v>
          </cell>
          <cell r="L459">
            <v>99.1</v>
          </cell>
          <cell r="M459">
            <v>30.586419753086421</v>
          </cell>
          <cell r="N459">
            <v>107</v>
          </cell>
          <cell r="O459" t="str">
            <v>ไม่มี</v>
          </cell>
          <cell r="P459">
            <v>93</v>
          </cell>
          <cell r="Q459">
            <v>201</v>
          </cell>
          <cell r="R459">
            <v>1</v>
          </cell>
          <cell r="S459">
            <v>0</v>
          </cell>
          <cell r="T459">
            <v>0</v>
          </cell>
          <cell r="U459">
            <v>6.4172989664613276</v>
          </cell>
          <cell r="V459">
            <v>1.9076830641561737</v>
          </cell>
          <cell r="W459" t="str">
            <v>ความเสี่ยงต่ำ</v>
          </cell>
        </row>
        <row r="460">
          <cell r="A460">
            <v>560162</v>
          </cell>
          <cell r="B460" t="str">
            <v>นางสาว</v>
          </cell>
          <cell r="C460" t="str">
            <v>กาญจนาภา</v>
          </cell>
          <cell r="D460" t="str">
            <v>เจริญสุข</v>
          </cell>
          <cell r="E460" t="str">
            <v>บร.บรก.</v>
          </cell>
          <cell r="F460" t="str">
            <v>Support</v>
          </cell>
          <cell r="G460">
            <v>37.429158110882945</v>
          </cell>
          <cell r="H460" t="str">
            <v>Female</v>
          </cell>
          <cell r="I460" t="str">
            <v>ไม่สูบ</v>
          </cell>
          <cell r="J460">
            <v>118</v>
          </cell>
          <cell r="K460">
            <v>161</v>
          </cell>
          <cell r="L460">
            <v>79.8</v>
          </cell>
          <cell r="M460">
            <v>30.785849311369162</v>
          </cell>
          <cell r="N460"/>
          <cell r="O460" t="str">
            <v>ไม่มี</v>
          </cell>
          <cell r="P460">
            <v>78</v>
          </cell>
          <cell r="Q460">
            <v>287</v>
          </cell>
          <cell r="R460">
            <v>0</v>
          </cell>
          <cell r="S460">
            <v>0</v>
          </cell>
          <cell r="T460">
            <v>0</v>
          </cell>
          <cell r="U460">
            <v>6.1303880082135507</v>
          </cell>
          <cell r="V460">
            <v>1.4352998949874074</v>
          </cell>
          <cell r="W460" t="str">
            <v>ความเสี่ยงต่ำ</v>
          </cell>
        </row>
        <row r="461">
          <cell r="A461">
            <v>640054</v>
          </cell>
          <cell r="B461" t="str">
            <v>นาย</v>
          </cell>
          <cell r="C461" t="str">
            <v>สรนัย</v>
          </cell>
          <cell r="D461" t="str">
            <v>เอี่ยมสกุล</v>
          </cell>
          <cell r="E461" t="str">
            <v>ผ.ปก.C คธ.</v>
          </cell>
          <cell r="F461" t="str">
            <v>Operation</v>
          </cell>
          <cell r="G461">
            <v>34.75427789185489</v>
          </cell>
          <cell r="H461" t="str">
            <v>Male</v>
          </cell>
          <cell r="I461" t="str">
            <v>สูบ 5-6 มวนต่อวัน</v>
          </cell>
          <cell r="J461">
            <v>136</v>
          </cell>
          <cell r="K461">
            <v>171</v>
          </cell>
          <cell r="L461">
            <v>69.900000000000006</v>
          </cell>
          <cell r="M461">
            <v>23.904791217810608</v>
          </cell>
          <cell r="N461">
            <v>87</v>
          </cell>
          <cell r="O461" t="str">
            <v>ไม่มี</v>
          </cell>
          <cell r="P461">
            <v>79</v>
          </cell>
          <cell r="Q461">
            <v>231</v>
          </cell>
          <cell r="R461">
            <v>1</v>
          </cell>
          <cell r="S461">
            <v>1</v>
          </cell>
          <cell r="T461">
            <v>0</v>
          </cell>
          <cell r="U461">
            <v>6.9820525598904855</v>
          </cell>
          <cell r="V461">
            <v>3.3313101784534838</v>
          </cell>
          <cell r="W461" t="str">
            <v>ความเสี่ยงต่ำ</v>
          </cell>
        </row>
        <row r="462">
          <cell r="A462">
            <v>350085</v>
          </cell>
          <cell r="B462" t="str">
            <v>นาย</v>
          </cell>
          <cell r="C462" t="str">
            <v>ธำรง</v>
          </cell>
          <cell r="D462" t="str">
            <v>วงษ์บุบผา</v>
          </cell>
          <cell r="E462" t="str">
            <v>บง.วบก.</v>
          </cell>
          <cell r="F462" t="str">
            <v>Maintenance</v>
          </cell>
          <cell r="G462">
            <v>54.305270362765228</v>
          </cell>
          <cell r="H462" t="str">
            <v>Male</v>
          </cell>
          <cell r="I462">
            <v>0</v>
          </cell>
          <cell r="J462">
            <v>114</v>
          </cell>
          <cell r="K462">
            <v>174.5</v>
          </cell>
          <cell r="L462">
            <v>72.5</v>
          </cell>
          <cell r="M462">
            <v>23.80932833063768</v>
          </cell>
          <cell r="N462">
            <v>90</v>
          </cell>
          <cell r="O462">
            <v>0</v>
          </cell>
          <cell r="P462">
            <v>88</v>
          </cell>
          <cell r="Q462">
            <v>204</v>
          </cell>
          <cell r="R462">
            <v>1</v>
          </cell>
          <cell r="S462">
            <v>1</v>
          </cell>
          <cell r="T462">
            <v>0</v>
          </cell>
          <cell r="U462">
            <v>8.0661902737850788</v>
          </cell>
          <cell r="V462">
            <v>9.5326561441458679</v>
          </cell>
          <cell r="W462" t="str">
            <v>ความเสี่ยงต่ำ</v>
          </cell>
        </row>
        <row r="463">
          <cell r="A463">
            <v>470007</v>
          </cell>
          <cell r="B463" t="str">
            <v>นาย</v>
          </cell>
          <cell r="C463" t="str">
            <v>สุนทร</v>
          </cell>
          <cell r="D463" t="str">
            <v>ฤทธิ์คำรพ</v>
          </cell>
          <cell r="E463" t="str">
            <v>บค.วบก.</v>
          </cell>
          <cell r="F463" t="str">
            <v>Maintenance</v>
          </cell>
          <cell r="G463">
            <v>46.529774127310048</v>
          </cell>
          <cell r="H463" t="str">
            <v>Male</v>
          </cell>
          <cell r="I463" t="str">
            <v>ไม่สูบ</v>
          </cell>
          <cell r="J463">
            <v>159</v>
          </cell>
          <cell r="K463">
            <v>168</v>
          </cell>
          <cell r="L463">
            <v>86.4</v>
          </cell>
          <cell r="M463">
            <v>30.612244897959183</v>
          </cell>
          <cell r="N463">
            <v>98</v>
          </cell>
          <cell r="O463" t="str">
            <v>โรคความดันโลหิตสูง</v>
          </cell>
          <cell r="P463">
            <v>100</v>
          </cell>
          <cell r="Q463">
            <v>180</v>
          </cell>
          <cell r="R463">
            <v>1</v>
          </cell>
          <cell r="S463">
            <v>0</v>
          </cell>
          <cell r="T463">
            <v>0</v>
          </cell>
          <cell r="U463">
            <v>7.8976814168377816</v>
          </cell>
          <cell r="V463">
            <v>8.1162057656058764</v>
          </cell>
          <cell r="W463" t="str">
            <v>ความเสี่ยงต่ำ</v>
          </cell>
        </row>
        <row r="464">
          <cell r="A464">
            <v>640062</v>
          </cell>
          <cell r="B464" t="str">
            <v>นาย</v>
          </cell>
          <cell r="C464" t="str">
            <v>จิราวุฒิ</v>
          </cell>
          <cell r="D464" t="str">
            <v>มหาโยธิน</v>
          </cell>
          <cell r="E464" t="str">
            <v>ผ.บพ.พย.</v>
          </cell>
          <cell r="F464" t="str">
            <v>Support</v>
          </cell>
          <cell r="G464">
            <v>34.620123203285416</v>
          </cell>
          <cell r="H464" t="str">
            <v>Male</v>
          </cell>
          <cell r="I464" t="str">
            <v>สูบ 10 มวนต่อวัน</v>
          </cell>
          <cell r="J464">
            <v>127</v>
          </cell>
          <cell r="K464">
            <v>175.5</v>
          </cell>
          <cell r="L464">
            <v>82.3</v>
          </cell>
          <cell r="M464">
            <v>26.720562333097945</v>
          </cell>
          <cell r="N464">
            <v>94</v>
          </cell>
          <cell r="O464" t="str">
            <v>ไม่มี</v>
          </cell>
          <cell r="P464">
            <v>79</v>
          </cell>
          <cell r="Q464">
            <v>219</v>
          </cell>
          <cell r="R464">
            <v>1</v>
          </cell>
          <cell r="S464">
            <v>1</v>
          </cell>
          <cell r="T464">
            <v>0</v>
          </cell>
          <cell r="U464">
            <v>6.7580746817248452</v>
          </cell>
          <cell r="V464">
            <v>2.671846725388094</v>
          </cell>
          <cell r="W464" t="str">
            <v>ความเสี่ยงต่ำ</v>
          </cell>
        </row>
        <row r="465">
          <cell r="A465">
            <v>550077</v>
          </cell>
          <cell r="B465" t="str">
            <v>นาย</v>
          </cell>
          <cell r="C465" t="str">
            <v>ว่าที่ร้อยตรีกิตติศักดิ์</v>
          </cell>
          <cell r="D465" t="str">
            <v>ดัสกรธรรมกุล</v>
          </cell>
          <cell r="E465" t="str">
            <v>บง.วบก.</v>
          </cell>
          <cell r="F465" t="str">
            <v>Maintenance</v>
          </cell>
          <cell r="G465">
            <v>35.359342915811091</v>
          </cell>
          <cell r="H465" t="str">
            <v>Male</v>
          </cell>
          <cell r="I465" t="str">
            <v>ไม่สูบ</v>
          </cell>
          <cell r="J465">
            <v>125</v>
          </cell>
          <cell r="K465">
            <v>180</v>
          </cell>
          <cell r="L465">
            <v>86</v>
          </cell>
          <cell r="M465">
            <v>26.543209876543212</v>
          </cell>
          <cell r="N465">
            <v>97</v>
          </cell>
          <cell r="O465" t="str">
            <v>ไม่มี</v>
          </cell>
          <cell r="P465">
            <v>78</v>
          </cell>
          <cell r="Q465">
            <v>139</v>
          </cell>
          <cell r="R465">
            <v>1</v>
          </cell>
          <cell r="S465">
            <v>0</v>
          </cell>
          <cell r="T465">
            <v>0</v>
          </cell>
          <cell r="U465">
            <v>6.1881250308008209</v>
          </cell>
          <cell r="V465">
            <v>1.5199573364407803</v>
          </cell>
          <cell r="W465" t="str">
            <v>ความเสี่ยงต่ำ</v>
          </cell>
        </row>
        <row r="466">
          <cell r="A466">
            <v>360097</v>
          </cell>
          <cell r="B466" t="str">
            <v>นาย</v>
          </cell>
          <cell r="C466" t="str">
            <v>สานนท์</v>
          </cell>
          <cell r="D466" t="str">
            <v>พุฒแก้ว</v>
          </cell>
          <cell r="E466" t="str">
            <v>คผ.B ปล.</v>
          </cell>
          <cell r="F466" t="str">
            <v>Operation</v>
          </cell>
          <cell r="G466">
            <v>52.761122518822724</v>
          </cell>
          <cell r="H466" t="str">
            <v>Male</v>
          </cell>
          <cell r="I466" t="str">
            <v>ไม่สูบ</v>
          </cell>
          <cell r="J466">
            <v>125</v>
          </cell>
          <cell r="K466">
            <v>163</v>
          </cell>
          <cell r="L466">
            <v>74.099999999999994</v>
          </cell>
          <cell r="M466">
            <v>27.889645827844479</v>
          </cell>
          <cell r="N466">
            <v>92</v>
          </cell>
          <cell r="O466" t="str">
            <v>ไม่มี</v>
          </cell>
          <cell r="P466">
            <v>90</v>
          </cell>
          <cell r="Q466">
            <v>265</v>
          </cell>
          <cell r="R466">
            <v>1</v>
          </cell>
          <cell r="S466">
            <v>0</v>
          </cell>
          <cell r="T466">
            <v>0</v>
          </cell>
          <cell r="U466">
            <v>7.8792326557152634</v>
          </cell>
          <cell r="V466">
            <v>7.9739250089651321</v>
          </cell>
          <cell r="W466" t="str">
            <v>ความเสี่ยงต่ำ</v>
          </cell>
        </row>
        <row r="467">
          <cell r="A467">
            <v>480191</v>
          </cell>
          <cell r="B467" t="str">
            <v>นาย</v>
          </cell>
          <cell r="C467" t="str">
            <v>เอนก</v>
          </cell>
          <cell r="D467" t="str">
            <v>อินแดน</v>
          </cell>
          <cell r="E467" t="str">
            <v>คผ.C ปต.</v>
          </cell>
          <cell r="F467" t="str">
            <v>Operation</v>
          </cell>
          <cell r="G467">
            <v>43.446954140999317</v>
          </cell>
          <cell r="H467" t="str">
            <v>Male</v>
          </cell>
          <cell r="I467" t="str">
            <v>สูบ 6 มวนต่อวัน</v>
          </cell>
          <cell r="J467">
            <v>116</v>
          </cell>
          <cell r="K467">
            <v>173.5</v>
          </cell>
          <cell r="L467">
            <v>66.599999999999994</v>
          </cell>
          <cell r="M467">
            <v>22.124592015547009</v>
          </cell>
          <cell r="N467">
            <v>75</v>
          </cell>
          <cell r="O467" t="str">
            <v>โรคภูมิแพ้</v>
          </cell>
          <cell r="P467">
            <v>76</v>
          </cell>
          <cell r="Q467">
            <v>197</v>
          </cell>
          <cell r="R467">
            <v>1</v>
          </cell>
          <cell r="S467">
            <v>1</v>
          </cell>
          <cell r="T467">
            <v>0</v>
          </cell>
          <cell r="U467">
            <v>7.2044942573579736</v>
          </cell>
          <cell r="V467">
            <v>4.1438029302274586</v>
          </cell>
          <cell r="W467" t="str">
            <v>ความเสี่ยงต่ำ</v>
          </cell>
        </row>
        <row r="468">
          <cell r="A468">
            <v>480076</v>
          </cell>
          <cell r="B468" t="str">
            <v>นาย</v>
          </cell>
          <cell r="C468" t="str">
            <v>เกียรติศักดิ์</v>
          </cell>
          <cell r="D468" t="str">
            <v>ไทยวัฒนา</v>
          </cell>
          <cell r="E468" t="str">
            <v>ผ.ปก.B ปอ.</v>
          </cell>
          <cell r="F468" t="str">
            <v>Operation</v>
          </cell>
          <cell r="G468">
            <v>45.103353867214224</v>
          </cell>
          <cell r="H468" t="str">
            <v>Male</v>
          </cell>
          <cell r="I468" t="str">
            <v>ไม่สูบ</v>
          </cell>
          <cell r="J468">
            <v>115</v>
          </cell>
          <cell r="K468">
            <v>170</v>
          </cell>
          <cell r="L468">
            <v>78.900000000000006</v>
          </cell>
          <cell r="M468">
            <v>27.301038062283737</v>
          </cell>
          <cell r="N468">
            <v>84</v>
          </cell>
          <cell r="O468" t="str">
            <v>ไม่มี</v>
          </cell>
          <cell r="P468">
            <v>77</v>
          </cell>
          <cell r="Q468">
            <v>222</v>
          </cell>
          <cell r="R468">
            <v>1</v>
          </cell>
          <cell r="S468">
            <v>0</v>
          </cell>
          <cell r="T468">
            <v>0</v>
          </cell>
          <cell r="U468">
            <v>6.9530374469541405</v>
          </cell>
          <cell r="V468">
            <v>3.2376000397804305</v>
          </cell>
          <cell r="W468" t="str">
            <v>ความเสี่ยงต่ำ</v>
          </cell>
        </row>
        <row r="469">
          <cell r="A469">
            <v>490040</v>
          </cell>
          <cell r="B469" t="str">
            <v>นาย</v>
          </cell>
          <cell r="C469" t="str">
            <v>อรรถพล</v>
          </cell>
          <cell r="D469" t="str">
            <v>พานิชนาวา</v>
          </cell>
          <cell r="E469" t="str">
            <v>คผ.C ปต.</v>
          </cell>
          <cell r="F469" t="str">
            <v>Operation</v>
          </cell>
          <cell r="G469">
            <v>41.51403148528405</v>
          </cell>
          <cell r="H469" t="str">
            <v>Male</v>
          </cell>
          <cell r="I469" t="str">
            <v>ไม่สูบ</v>
          </cell>
          <cell r="J469">
            <v>127</v>
          </cell>
          <cell r="K469">
            <v>172.5</v>
          </cell>
          <cell r="L469">
            <v>81.400000000000006</v>
          </cell>
          <cell r="M469">
            <v>27.355597563537071</v>
          </cell>
          <cell r="N469">
            <v>91</v>
          </cell>
          <cell r="O469" t="str">
            <v>ไม่มี</v>
          </cell>
          <cell r="P469">
            <v>89</v>
          </cell>
          <cell r="Q469">
            <v>383</v>
          </cell>
          <cell r="R469">
            <v>1</v>
          </cell>
          <cell r="S469">
            <v>0</v>
          </cell>
          <cell r="T469">
            <v>0</v>
          </cell>
          <cell r="U469">
            <v>7.2507231964407941</v>
          </cell>
          <cell r="V469">
            <v>4.3355519382457075</v>
          </cell>
          <cell r="W469" t="str">
            <v>ความเสี่ยงต่ำ</v>
          </cell>
        </row>
        <row r="470">
          <cell r="A470">
            <v>570031</v>
          </cell>
          <cell r="B470" t="str">
            <v>นาย</v>
          </cell>
          <cell r="C470" t="str">
            <v>สุเมธ</v>
          </cell>
          <cell r="D470" t="str">
            <v>ชาญสมร</v>
          </cell>
          <cell r="E470" t="str">
            <v>คผ.A ปล.</v>
          </cell>
          <cell r="F470" t="str">
            <v>Operation</v>
          </cell>
          <cell r="G470">
            <v>42.225872689938399</v>
          </cell>
          <cell r="H470" t="str">
            <v>Male</v>
          </cell>
          <cell r="I470" t="str">
            <v>ไม่สูบ</v>
          </cell>
          <cell r="J470">
            <v>113</v>
          </cell>
          <cell r="K470">
            <v>171.5</v>
          </cell>
          <cell r="L470">
            <v>82.8</v>
          </cell>
          <cell r="M470">
            <v>28.151535499664256</v>
          </cell>
          <cell r="N470">
            <v>98</v>
          </cell>
          <cell r="O470" t="str">
            <v>หลอดลมตีบ</v>
          </cell>
          <cell r="P470">
            <v>91</v>
          </cell>
          <cell r="Q470">
            <v>185</v>
          </cell>
          <cell r="R470">
            <v>1</v>
          </cell>
          <cell r="S470">
            <v>0</v>
          </cell>
          <cell r="T470">
            <v>0</v>
          </cell>
          <cell r="U470">
            <v>6.5974531622176587</v>
          </cell>
          <cell r="V470">
            <v>2.2799402979178596</v>
          </cell>
          <cell r="W470" t="str">
            <v>ความเสี่ยงต่ำ</v>
          </cell>
        </row>
        <row r="471">
          <cell r="A471">
            <v>490052</v>
          </cell>
          <cell r="B471" t="str">
            <v>นาย</v>
          </cell>
          <cell r="C471" t="str">
            <v>ชานนท์</v>
          </cell>
          <cell r="D471" t="str">
            <v>บุญยิ่งเหลือ</v>
          </cell>
          <cell r="E471" t="str">
            <v>คผ.B ปล.</v>
          </cell>
          <cell r="F471" t="str">
            <v>Operation</v>
          </cell>
          <cell r="G471">
            <v>44.462696783025322</v>
          </cell>
          <cell r="H471" t="str">
            <v>Male</v>
          </cell>
          <cell r="I471" t="str">
            <v>สูบ 10 มวนต่อวัน</v>
          </cell>
          <cell r="J471">
            <v>137</v>
          </cell>
          <cell r="K471">
            <v>161.5</v>
          </cell>
          <cell r="L471">
            <v>88.1</v>
          </cell>
          <cell r="M471">
            <v>33.777760737666419</v>
          </cell>
          <cell r="N471">
            <v>111</v>
          </cell>
          <cell r="O471" t="str">
            <v>โรคความดันโลหิตสูง</v>
          </cell>
          <cell r="P471">
            <v>91</v>
          </cell>
          <cell r="Q471">
            <v>215</v>
          </cell>
          <cell r="R471">
            <v>1</v>
          </cell>
          <cell r="S471">
            <v>1</v>
          </cell>
          <cell r="T471">
            <v>0</v>
          </cell>
          <cell r="U471">
            <v>7.7634124777549625</v>
          </cell>
          <cell r="V471">
            <v>7.1337795448523806</v>
          </cell>
          <cell r="W471" t="str">
            <v>ความเสี่ยงต่ำ</v>
          </cell>
        </row>
        <row r="472">
          <cell r="A472">
            <v>480185</v>
          </cell>
          <cell r="B472" t="str">
            <v>นาย</v>
          </cell>
          <cell r="C472" t="str">
            <v>กิตติพงศ์</v>
          </cell>
          <cell r="D472" t="str">
            <v>ทั่งสอ</v>
          </cell>
          <cell r="E472" t="str">
            <v>ผ.ปก.B ปก.</v>
          </cell>
          <cell r="F472" t="str">
            <v>Operation</v>
          </cell>
          <cell r="G472">
            <v>43.178644763860362</v>
          </cell>
          <cell r="H472" t="str">
            <v>Male</v>
          </cell>
          <cell r="I472" t="str">
            <v>ไม่สูบ</v>
          </cell>
          <cell r="J472">
            <v>107</v>
          </cell>
          <cell r="K472">
            <v>177.5</v>
          </cell>
          <cell r="L472">
            <v>73.8</v>
          </cell>
          <cell r="M472">
            <v>23.423923824637967</v>
          </cell>
          <cell r="N472">
            <v>62</v>
          </cell>
          <cell r="O472" t="str">
            <v>ไม่มี</v>
          </cell>
          <cell r="P472">
            <v>85</v>
          </cell>
          <cell r="Q472">
            <v>216</v>
          </cell>
          <cell r="R472">
            <v>1</v>
          </cell>
          <cell r="S472">
            <v>0</v>
          </cell>
          <cell r="T472">
            <v>0</v>
          </cell>
          <cell r="U472">
            <v>6.6160985010266931</v>
          </cell>
          <cell r="V472">
            <v>2.3223472260777478</v>
          </cell>
          <cell r="W472" t="str">
            <v>ความเสี่ยงต่ำ</v>
          </cell>
        </row>
        <row r="473">
          <cell r="A473">
            <v>600136</v>
          </cell>
          <cell r="B473" t="str">
            <v>นาย</v>
          </cell>
          <cell r="C473" t="str">
            <v>ขจรศักดิ์</v>
          </cell>
          <cell r="D473" t="str">
            <v>ศรีกฤษณ์</v>
          </cell>
          <cell r="E473" t="str">
            <v>บร.บรก.</v>
          </cell>
          <cell r="F473" t="str">
            <v>Support</v>
          </cell>
          <cell r="G473">
            <v>36.941820670773438</v>
          </cell>
          <cell r="H473" t="str">
            <v>Male</v>
          </cell>
          <cell r="I473" t="str">
            <v>ไม่สูบ</v>
          </cell>
          <cell r="J473">
            <v>130</v>
          </cell>
          <cell r="K473">
            <v>172</v>
          </cell>
          <cell r="L473">
            <v>70.599999999999994</v>
          </cell>
          <cell r="M473">
            <v>23.864250946457542</v>
          </cell>
          <cell r="N473">
            <v>83</v>
          </cell>
          <cell r="O473" t="str">
            <v>ไม่มี</v>
          </cell>
          <cell r="P473">
            <v>87</v>
          </cell>
          <cell r="Q473">
            <v>262</v>
          </cell>
          <cell r="R473">
            <v>1</v>
          </cell>
          <cell r="S473">
            <v>0</v>
          </cell>
          <cell r="T473">
            <v>0</v>
          </cell>
          <cell r="U473">
            <v>6.6825791854893906</v>
          </cell>
          <cell r="V473">
            <v>2.4799905671106792</v>
          </cell>
          <cell r="W473" t="str">
            <v>ความเสี่ยงต่ำ</v>
          </cell>
        </row>
        <row r="474">
          <cell r="A474">
            <v>500159</v>
          </cell>
          <cell r="B474" t="str">
            <v>นาย</v>
          </cell>
          <cell r="C474" t="str">
            <v>ยงยุทธ์</v>
          </cell>
          <cell r="D474" t="str">
            <v>ปกป้อง</v>
          </cell>
          <cell r="E474" t="str">
            <v>ผ.ปก.A ปอ.</v>
          </cell>
          <cell r="F474" t="str">
            <v>Operation</v>
          </cell>
          <cell r="G474">
            <v>38.986995208761122</v>
          </cell>
          <cell r="H474" t="str">
            <v>Male</v>
          </cell>
          <cell r="I474" t="str">
            <v>ไม่สูบ</v>
          </cell>
          <cell r="J474">
            <v>125</v>
          </cell>
          <cell r="K474">
            <v>175</v>
          </cell>
          <cell r="L474">
            <v>68.599999999999994</v>
          </cell>
          <cell r="M474">
            <v>22.4</v>
          </cell>
          <cell r="N474">
            <v>86</v>
          </cell>
          <cell r="O474" t="str">
            <v>ไม่มี</v>
          </cell>
          <cell r="P474">
            <v>88</v>
          </cell>
          <cell r="Q474">
            <v>197</v>
          </cell>
          <cell r="R474">
            <v>1</v>
          </cell>
          <cell r="S474">
            <v>0</v>
          </cell>
          <cell r="T474">
            <v>0</v>
          </cell>
          <cell r="U474">
            <v>6.6079358179329226</v>
          </cell>
          <cell r="V474">
            <v>2.303686957595219</v>
          </cell>
          <cell r="W474" t="str">
            <v>ความเสี่ยงต่ำ</v>
          </cell>
        </row>
        <row r="475">
          <cell r="A475">
            <v>590001</v>
          </cell>
          <cell r="B475" t="str">
            <v>นาย</v>
          </cell>
          <cell r="C475" t="str">
            <v>อณัศกรณ์</v>
          </cell>
          <cell r="D475" t="str">
            <v>อธิพัฒน์เตชิน</v>
          </cell>
          <cell r="E475" t="str">
            <v>ผบ.วบก.</v>
          </cell>
          <cell r="F475" t="str">
            <v>Maintenance</v>
          </cell>
          <cell r="G475">
            <v>34.595482546201232</v>
          </cell>
          <cell r="H475" t="str">
            <v>Male</v>
          </cell>
          <cell r="I475" t="str">
            <v>ไม่สูบ</v>
          </cell>
          <cell r="J475">
            <v>139</v>
          </cell>
          <cell r="K475">
            <v>172.5</v>
          </cell>
          <cell r="L475">
            <v>104.5</v>
          </cell>
          <cell r="M475">
            <v>35.11867254778408</v>
          </cell>
          <cell r="N475">
            <v>113</v>
          </cell>
          <cell r="O475" t="str">
            <v>ไม่มี</v>
          </cell>
          <cell r="P475">
            <v>82</v>
          </cell>
          <cell r="Q475">
            <v>180</v>
          </cell>
          <cell r="R475">
            <v>1</v>
          </cell>
          <cell r="S475">
            <v>0</v>
          </cell>
          <cell r="T475">
            <v>0</v>
          </cell>
          <cell r="U475">
            <v>6.5042983367556468</v>
          </cell>
          <cell r="V475">
            <v>2.0792689761141014</v>
          </cell>
          <cell r="W475" t="str">
            <v>ความเสี่ยงต่ำ</v>
          </cell>
        </row>
        <row r="476">
          <cell r="A476">
            <v>500047</v>
          </cell>
          <cell r="B476" t="str">
            <v>นาย</v>
          </cell>
          <cell r="C476" t="str">
            <v>ณภัทร</v>
          </cell>
          <cell r="D476" t="str">
            <v>ท้าวพิมพ์</v>
          </cell>
          <cell r="E476" t="str">
            <v>บง.วบก.</v>
          </cell>
          <cell r="F476" t="str">
            <v>Maintenance</v>
          </cell>
          <cell r="G476">
            <v>42.516084873374389</v>
          </cell>
          <cell r="H476" t="str">
            <v>Male</v>
          </cell>
          <cell r="I476" t="str">
            <v>ไม่สูบ</v>
          </cell>
          <cell r="J476">
            <v>128</v>
          </cell>
          <cell r="K476">
            <v>169.5</v>
          </cell>
          <cell r="L476">
            <v>76</v>
          </cell>
          <cell r="M476">
            <v>26.452954638403774</v>
          </cell>
          <cell r="N476">
            <v>88</v>
          </cell>
          <cell r="O476" t="str">
            <v>ไม่มี</v>
          </cell>
          <cell r="P476">
            <v>89</v>
          </cell>
          <cell r="Q476">
            <v>277</v>
          </cell>
          <cell r="R476">
            <v>1</v>
          </cell>
          <cell r="S476">
            <v>0</v>
          </cell>
          <cell r="T476">
            <v>0</v>
          </cell>
          <cell r="U476">
            <v>7.1288412251882267</v>
          </cell>
          <cell r="V476">
            <v>3.8477641514343963</v>
          </cell>
          <cell r="W476" t="str">
            <v>ความเสี่ยงต่ำ</v>
          </cell>
        </row>
        <row r="477">
          <cell r="A477">
            <v>480165</v>
          </cell>
          <cell r="B477" t="str">
            <v>นาย</v>
          </cell>
          <cell r="C477" t="str">
            <v>พิทินันท์</v>
          </cell>
          <cell r="D477" t="str">
            <v>ทองอินทร์</v>
          </cell>
          <cell r="E477" t="str">
            <v>บค.วบก.</v>
          </cell>
          <cell r="F477" t="str">
            <v>Maintenance</v>
          </cell>
          <cell r="G477">
            <v>40.646132785763172</v>
          </cell>
          <cell r="H477" t="str">
            <v>Male</v>
          </cell>
          <cell r="I477" t="str">
            <v>ไม่สูบ</v>
          </cell>
          <cell r="J477">
            <v>130</v>
          </cell>
          <cell r="K477">
            <v>180</v>
          </cell>
          <cell r="L477">
            <v>109.3</v>
          </cell>
          <cell r="M477">
            <v>33.73456790123457</v>
          </cell>
          <cell r="N477">
            <v>109</v>
          </cell>
          <cell r="O477" t="str">
            <v>ไม่มี</v>
          </cell>
          <cell r="P477">
            <v>90</v>
          </cell>
          <cell r="Q477">
            <v>250</v>
          </cell>
          <cell r="R477">
            <v>1</v>
          </cell>
          <cell r="S477">
            <v>0</v>
          </cell>
          <cell r="T477">
            <v>0</v>
          </cell>
          <cell r="U477">
            <v>6.9602630458590005</v>
          </cell>
          <cell r="V477">
            <v>3.2606913672617588</v>
          </cell>
          <cell r="W477" t="str">
            <v>ความเสี่ยงต่ำ</v>
          </cell>
        </row>
        <row r="478">
          <cell r="A478">
            <v>540199</v>
          </cell>
          <cell r="B478" t="str">
            <v>นาย</v>
          </cell>
          <cell r="C478" t="str">
            <v>ชยพล</v>
          </cell>
          <cell r="D478" t="str">
            <v>พุกภิญโญ</v>
          </cell>
          <cell r="E478" t="str">
            <v>ผ.ปก.A ปก.</v>
          </cell>
          <cell r="F478" t="str">
            <v>Operation</v>
          </cell>
          <cell r="G478">
            <v>37.097878165639976</v>
          </cell>
          <cell r="H478" t="str">
            <v>Male</v>
          </cell>
          <cell r="I478" t="str">
            <v>ไม่ระบุ</v>
          </cell>
          <cell r="J478">
            <v>121</v>
          </cell>
          <cell r="K478">
            <v>177.5</v>
          </cell>
          <cell r="L478">
            <v>64.099999999999994</v>
          </cell>
          <cell r="M478">
            <v>20.345169609204522</v>
          </cell>
          <cell r="N478">
            <v>83</v>
          </cell>
          <cell r="O478" t="str">
            <v>ไม่มี</v>
          </cell>
          <cell r="P478">
            <v>137</v>
          </cell>
          <cell r="Q478">
            <v>190</v>
          </cell>
          <cell r="R478">
            <v>1</v>
          </cell>
          <cell r="S478">
            <v>1</v>
          </cell>
          <cell r="T478">
            <v>0</v>
          </cell>
          <cell r="U478">
            <v>6.7743093702943193</v>
          </cell>
          <cell r="V478">
            <v>2.7149782998254879</v>
          </cell>
          <cell r="W478" t="str">
            <v>ความเสี่ยงต่ำ</v>
          </cell>
        </row>
        <row r="479">
          <cell r="A479">
            <v>340093</v>
          </cell>
          <cell r="B479" t="str">
            <v>นาย</v>
          </cell>
          <cell r="C479" t="str">
            <v>สุเทพ</v>
          </cell>
          <cell r="D479" t="str">
            <v>มีทอง</v>
          </cell>
          <cell r="E479" t="str">
            <v>บง.วบก.</v>
          </cell>
          <cell r="F479" t="str">
            <v>Maintenance</v>
          </cell>
          <cell r="G479">
            <v>55.863107460643398</v>
          </cell>
          <cell r="H479" t="str">
            <v>Male</v>
          </cell>
          <cell r="I479" t="str">
            <v>ไม่สูบ</v>
          </cell>
          <cell r="J479">
            <v>110</v>
          </cell>
          <cell r="K479">
            <v>171</v>
          </cell>
          <cell r="L479">
            <v>73.3</v>
          </cell>
          <cell r="M479">
            <v>25.06754214972128</v>
          </cell>
          <cell r="N479">
            <v>88</v>
          </cell>
          <cell r="O479" t="str">
            <v>ไม่มี</v>
          </cell>
          <cell r="P479">
            <v>94</v>
          </cell>
          <cell r="Q479">
            <v>172</v>
          </cell>
          <cell r="R479">
            <v>1</v>
          </cell>
          <cell r="S479">
            <v>0</v>
          </cell>
          <cell r="T479">
            <v>0</v>
          </cell>
          <cell r="U479">
            <v>7.6233080835044493</v>
          </cell>
          <cell r="V479">
            <v>6.2308875855364487</v>
          </cell>
          <cell r="W479" t="str">
            <v>ความเสี่ยงต่ำ</v>
          </cell>
        </row>
        <row r="480">
          <cell r="A480">
            <v>590020</v>
          </cell>
          <cell r="B480" t="str">
            <v>นางสาว</v>
          </cell>
          <cell r="C480" t="str">
            <v>กมลชนก</v>
          </cell>
          <cell r="D480" t="str">
            <v>รัตนวิจิตร</v>
          </cell>
          <cell r="E480" t="str">
            <v>ปภ.ผยก.</v>
          </cell>
          <cell r="F480" t="str">
            <v>Support</v>
          </cell>
          <cell r="G480">
            <v>34.819986310746067</v>
          </cell>
          <cell r="H480" t="str">
            <v>Female</v>
          </cell>
          <cell r="I480" t="str">
            <v>ไม่สูบ</v>
          </cell>
          <cell r="J480">
            <v>111</v>
          </cell>
          <cell r="K480">
            <v>158.5</v>
          </cell>
          <cell r="L480">
            <v>56.2</v>
          </cell>
          <cell r="M480">
            <v>22.370607728209055</v>
          </cell>
          <cell r="N480">
            <v>67</v>
          </cell>
          <cell r="O480" t="str">
            <v>ไม่มี</v>
          </cell>
          <cell r="P480">
            <v>87</v>
          </cell>
          <cell r="Q480">
            <v>181</v>
          </cell>
          <cell r="R480">
            <v>0</v>
          </cell>
          <cell r="S480">
            <v>0</v>
          </cell>
          <cell r="T480">
            <v>0</v>
          </cell>
          <cell r="U480">
            <v>5.5462794798083515</v>
          </cell>
          <cell r="V480">
            <v>0.80288575552009966</v>
          </cell>
          <cell r="W480" t="str">
            <v>ความเสี่ยงต่ำ</v>
          </cell>
        </row>
        <row r="481">
          <cell r="A481">
            <v>490101</v>
          </cell>
          <cell r="B481" t="str">
            <v>นาย</v>
          </cell>
          <cell r="C481" t="str">
            <v>วิบูลย์</v>
          </cell>
          <cell r="D481" t="str">
            <v>อ่อนอุทัย</v>
          </cell>
          <cell r="E481" t="str">
            <v>บง.วบก.</v>
          </cell>
          <cell r="F481" t="str">
            <v>Maintenance</v>
          </cell>
          <cell r="G481">
            <v>41.790554414784388</v>
          </cell>
          <cell r="H481" t="str">
            <v>Male</v>
          </cell>
          <cell r="I481" t="str">
            <v>ไม่สูบ</v>
          </cell>
          <cell r="J481">
            <v>118</v>
          </cell>
          <cell r="K481">
            <v>173</v>
          </cell>
          <cell r="L481">
            <v>74.099999999999994</v>
          </cell>
          <cell r="M481">
            <v>24.758595342310134</v>
          </cell>
          <cell r="N481">
            <v>85</v>
          </cell>
          <cell r="O481" t="str">
            <v>ไม่มี</v>
          </cell>
          <cell r="P481">
            <v>82</v>
          </cell>
          <cell r="Q481">
            <v>184</v>
          </cell>
          <cell r="R481">
            <v>1</v>
          </cell>
          <cell r="S481">
            <v>0</v>
          </cell>
          <cell r="T481">
            <v>0</v>
          </cell>
          <cell r="U481">
            <v>6.6639110677618065</v>
          </cell>
          <cell r="V481">
            <v>2.4346862643638389</v>
          </cell>
          <cell r="W481" t="str">
            <v>ความเสี่ยงต่ำ</v>
          </cell>
        </row>
        <row r="482">
          <cell r="A482">
            <v>480162</v>
          </cell>
          <cell r="B482" t="str">
            <v>นาย</v>
          </cell>
          <cell r="C482" t="str">
            <v>อนันต์</v>
          </cell>
          <cell r="D482" t="str">
            <v>แจ่มจันทร์</v>
          </cell>
          <cell r="E482" t="str">
            <v>บฟ.วบก.</v>
          </cell>
          <cell r="F482" t="str">
            <v>Maintenance</v>
          </cell>
          <cell r="G482">
            <v>44.57494866529774</v>
          </cell>
          <cell r="H482" t="str">
            <v>Male</v>
          </cell>
          <cell r="I482" t="str">
            <v>ไม่สูบ</v>
          </cell>
          <cell r="J482">
            <v>119</v>
          </cell>
          <cell r="K482">
            <v>177.5</v>
          </cell>
          <cell r="L482">
            <v>80.099999999999994</v>
          </cell>
          <cell r="M482">
            <v>25.423527077960721</v>
          </cell>
          <cell r="N482">
            <v>84</v>
          </cell>
          <cell r="O482" t="str">
            <v>ไม่มี</v>
          </cell>
          <cell r="P482">
            <v>86</v>
          </cell>
          <cell r="Q482">
            <v>260</v>
          </cell>
          <cell r="R482">
            <v>1</v>
          </cell>
          <cell r="S482">
            <v>0</v>
          </cell>
          <cell r="T482">
            <v>0</v>
          </cell>
          <cell r="U482">
            <v>7.0737180492813136</v>
          </cell>
          <cell r="V482">
            <v>3.6452120822934364</v>
          </cell>
          <cell r="W482" t="str">
            <v>ความเสี่ยงต่ำ</v>
          </cell>
        </row>
        <row r="483">
          <cell r="A483">
            <v>480180</v>
          </cell>
          <cell r="B483" t="str">
            <v>นาย</v>
          </cell>
          <cell r="C483" t="str">
            <v>สุเทพ</v>
          </cell>
          <cell r="D483" t="str">
            <v>ดิษขุนทด</v>
          </cell>
          <cell r="E483" t="str">
            <v>บง.วบก.</v>
          </cell>
          <cell r="F483" t="str">
            <v>Maintenance</v>
          </cell>
          <cell r="G483">
            <v>44.960985626283367</v>
          </cell>
          <cell r="H483" t="str">
            <v>Male</v>
          </cell>
          <cell r="I483" t="str">
            <v>ไม่สูบ</v>
          </cell>
          <cell r="J483">
            <v>140</v>
          </cell>
          <cell r="K483">
            <v>175</v>
          </cell>
          <cell r="L483">
            <v>94.6</v>
          </cell>
          <cell r="M483">
            <v>30.889795918367348</v>
          </cell>
          <cell r="N483">
            <v>112</v>
          </cell>
          <cell r="O483" t="str">
            <v>ไม่มี</v>
          </cell>
          <cell r="P483">
            <v>232</v>
          </cell>
          <cell r="Q483">
            <v>164</v>
          </cell>
          <cell r="R483">
            <v>1</v>
          </cell>
          <cell r="S483">
            <v>0</v>
          </cell>
          <cell r="T483">
            <v>0</v>
          </cell>
          <cell r="U483">
            <v>7.339427453798768</v>
          </cell>
          <cell r="V483">
            <v>4.728052601417609</v>
          </cell>
          <cell r="W483" t="str">
            <v>ความเสี่ยงต่ำ</v>
          </cell>
        </row>
        <row r="484">
          <cell r="A484">
            <v>560303</v>
          </cell>
          <cell r="B484" t="str">
            <v>นาย</v>
          </cell>
          <cell r="C484" t="str">
            <v>อรรณพ</v>
          </cell>
          <cell r="D484" t="str">
            <v>ศรีสารสกุล</v>
          </cell>
          <cell r="E484" t="str">
            <v>บค.วบก.</v>
          </cell>
          <cell r="F484" t="str">
            <v>Maintenance</v>
          </cell>
          <cell r="G484">
            <v>34.384668035592057</v>
          </cell>
          <cell r="H484" t="str">
            <v>Male</v>
          </cell>
          <cell r="I484" t="str">
            <v>สูบ 1 มวนต่อวัน</v>
          </cell>
          <cell r="J484">
            <v>122</v>
          </cell>
          <cell r="K484">
            <v>175</v>
          </cell>
          <cell r="L484">
            <v>69.5</v>
          </cell>
          <cell r="M484">
            <v>22.693877551020407</v>
          </cell>
          <cell r="N484">
            <v>78</v>
          </cell>
          <cell r="O484" t="str">
            <v>ไม่มี</v>
          </cell>
          <cell r="P484">
            <v>91</v>
          </cell>
          <cell r="Q484">
            <v>228</v>
          </cell>
          <cell r="R484">
            <v>1</v>
          </cell>
          <cell r="S484">
            <v>1</v>
          </cell>
          <cell r="T484">
            <v>0</v>
          </cell>
          <cell r="U484">
            <v>6.653687385352498</v>
          </cell>
          <cell r="V484">
            <v>2.4102224949782758</v>
          </cell>
          <cell r="W484" t="str">
            <v>ความเสี่ยงต่ำ</v>
          </cell>
        </row>
        <row r="485">
          <cell r="A485">
            <v>490045</v>
          </cell>
          <cell r="B485" t="str">
            <v>นาย</v>
          </cell>
          <cell r="C485" t="str">
            <v>สมพงศ์</v>
          </cell>
          <cell r="D485" t="str">
            <v>หนองน้อย</v>
          </cell>
          <cell r="E485" t="str">
            <v>บฟ.วบก.</v>
          </cell>
          <cell r="F485" t="str">
            <v>Maintenance</v>
          </cell>
          <cell r="G485">
            <v>44.334017796030103</v>
          </cell>
          <cell r="H485" t="str">
            <v>Male</v>
          </cell>
          <cell r="I485" t="str">
            <v>ไม่สูบ</v>
          </cell>
          <cell r="J485">
            <v>147</v>
          </cell>
          <cell r="K485">
            <v>171</v>
          </cell>
          <cell r="L485">
            <v>67.599999999999994</v>
          </cell>
          <cell r="M485">
            <v>23.118224410929855</v>
          </cell>
          <cell r="N485">
            <v>84</v>
          </cell>
          <cell r="O485" t="str">
            <v>ไม่มี</v>
          </cell>
          <cell r="P485">
            <v>238</v>
          </cell>
          <cell r="Q485">
            <v>375</v>
          </cell>
          <cell r="R485">
            <v>1</v>
          </cell>
          <cell r="S485">
            <v>0</v>
          </cell>
          <cell r="T485">
            <v>0</v>
          </cell>
          <cell r="U485">
            <v>7.8813226762491437</v>
          </cell>
          <cell r="V485">
            <v>7.9899231444283796</v>
          </cell>
          <cell r="W485" t="str">
            <v>ความเสี่ยงต่ำ</v>
          </cell>
        </row>
        <row r="486">
          <cell r="A486">
            <v>480198</v>
          </cell>
          <cell r="B486" t="str">
            <v>นาย</v>
          </cell>
          <cell r="C486" t="str">
            <v>สุปราการ</v>
          </cell>
          <cell r="D486" t="str">
            <v>จันดี</v>
          </cell>
          <cell r="E486" t="str">
            <v>ผ.ปก.B ปก.</v>
          </cell>
          <cell r="F486" t="str">
            <v>Operation</v>
          </cell>
          <cell r="G486">
            <v>47.080082135523604</v>
          </cell>
          <cell r="H486" t="str">
            <v>Male</v>
          </cell>
          <cell r="I486" t="str">
            <v>ไม่สูบ</v>
          </cell>
          <cell r="J486">
            <v>127</v>
          </cell>
          <cell r="K486">
            <v>179</v>
          </cell>
          <cell r="L486">
            <v>72.099999999999994</v>
          </cell>
          <cell r="M486">
            <v>22.502418775943323</v>
          </cell>
          <cell r="N486">
            <v>84</v>
          </cell>
          <cell r="O486" t="str">
            <v>ไม่มี</v>
          </cell>
          <cell r="P486">
            <v>95</v>
          </cell>
          <cell r="Q486">
            <v>227</v>
          </cell>
          <cell r="R486">
            <v>1</v>
          </cell>
          <cell r="S486">
            <v>0</v>
          </cell>
          <cell r="T486">
            <v>0</v>
          </cell>
          <cell r="U486">
            <v>7.3754731211498958</v>
          </cell>
          <cell r="V486">
            <v>4.8972681248714238</v>
          </cell>
          <cell r="W486" t="str">
            <v>ความเสี่ยงต่ำ</v>
          </cell>
        </row>
        <row r="487">
          <cell r="A487">
            <v>620004</v>
          </cell>
          <cell r="B487" t="str">
            <v>นาย</v>
          </cell>
          <cell r="C487" t="str">
            <v>ปรเมธ</v>
          </cell>
          <cell r="D487" t="str">
            <v>สุขหอม</v>
          </cell>
          <cell r="E487" t="str">
            <v>บค.วบก.</v>
          </cell>
          <cell r="F487" t="str">
            <v>Maintenance</v>
          </cell>
          <cell r="G487">
            <v>32.84873374401095</v>
          </cell>
          <cell r="H487" t="str">
            <v>Male</v>
          </cell>
          <cell r="I487" t="str">
            <v>ไม่สูบ</v>
          </cell>
          <cell r="J487">
            <v>140</v>
          </cell>
          <cell r="K487">
            <v>168</v>
          </cell>
          <cell r="L487">
            <v>64.900000000000006</v>
          </cell>
          <cell r="M487">
            <v>22.994614512471657</v>
          </cell>
          <cell r="N487">
            <v>86</v>
          </cell>
          <cell r="O487" t="str">
            <v>ไม่มี</v>
          </cell>
          <cell r="P487">
            <v>93</v>
          </cell>
          <cell r="Q487">
            <v>192</v>
          </cell>
          <cell r="R487">
            <v>1</v>
          </cell>
          <cell r="S487">
            <v>0</v>
          </cell>
          <cell r="T487">
            <v>0</v>
          </cell>
          <cell r="U487">
            <v>6.4076418822724168</v>
          </cell>
          <cell r="V487">
            <v>1.8895233963322822</v>
          </cell>
          <cell r="W487" t="str">
            <v>ความเสี่ยงต่ำ</v>
          </cell>
        </row>
        <row r="488">
          <cell r="A488">
            <v>640131</v>
          </cell>
          <cell r="B488" t="str">
            <v>นาย</v>
          </cell>
          <cell r="C488" t="str">
            <v>อธิศ</v>
          </cell>
          <cell r="D488" t="str">
            <v>คงสำราญ</v>
          </cell>
          <cell r="E488" t="str">
            <v>บค.วบก.</v>
          </cell>
          <cell r="F488" t="str">
            <v>Maintenance</v>
          </cell>
          <cell r="G488">
            <v>27.904175222450373</v>
          </cell>
          <cell r="H488" t="str">
            <v>Male</v>
          </cell>
          <cell r="I488" t="str">
            <v>สูบ 1 มวนต่อวัน</v>
          </cell>
          <cell r="J488">
            <v>122</v>
          </cell>
          <cell r="K488">
            <v>181.5</v>
          </cell>
          <cell r="L488">
            <v>73.400000000000006</v>
          </cell>
          <cell r="M488">
            <v>22.281416721687194</v>
          </cell>
          <cell r="N488">
            <v>85</v>
          </cell>
          <cell r="O488" t="str">
            <v>ไม่มี</v>
          </cell>
          <cell r="P488">
            <v>86</v>
          </cell>
          <cell r="Q488">
            <v>202</v>
          </cell>
          <cell r="R488">
            <v>1</v>
          </cell>
          <cell r="S488">
            <v>1</v>
          </cell>
          <cell r="T488">
            <v>0</v>
          </cell>
          <cell r="U488">
            <v>6.0682686584531131</v>
          </cell>
          <cell r="V488">
            <v>1.3494388152171966</v>
          </cell>
          <cell r="W488" t="str">
            <v>ความเสี่ยงต่ำ</v>
          </cell>
        </row>
        <row r="489">
          <cell r="A489">
            <v>590118</v>
          </cell>
          <cell r="B489" t="str">
            <v>นางสาว</v>
          </cell>
          <cell r="C489" t="str">
            <v>กชกร</v>
          </cell>
          <cell r="D489" t="str">
            <v>พันธ์ทอง</v>
          </cell>
          <cell r="E489" t="str">
            <v>คพ.ทผก.</v>
          </cell>
          <cell r="F489" t="str">
            <v>Support</v>
          </cell>
          <cell r="G489">
            <v>30.50239561943874</v>
          </cell>
          <cell r="H489" t="str">
            <v>Female</v>
          </cell>
          <cell r="I489" t="str">
            <v>ไม่สูบ</v>
          </cell>
          <cell r="J489">
            <v>105</v>
          </cell>
          <cell r="K489">
            <v>156.5</v>
          </cell>
          <cell r="L489">
            <v>48.4</v>
          </cell>
          <cell r="M489">
            <v>19.761353081076667</v>
          </cell>
          <cell r="N489">
            <v>67</v>
          </cell>
          <cell r="O489" t="str">
            <v>ไม่มี</v>
          </cell>
          <cell r="P489">
            <v>77</v>
          </cell>
          <cell r="Q489">
            <v>209</v>
          </cell>
          <cell r="R489">
            <v>0</v>
          </cell>
          <cell r="S489">
            <v>0</v>
          </cell>
          <cell r="T489">
            <v>0</v>
          </cell>
          <cell r="U489">
            <v>5.1272910335386719</v>
          </cell>
          <cell r="V489">
            <v>0.52879566284811386</v>
          </cell>
          <cell r="W489" t="str">
            <v>ความเสี่ยงต่ำ</v>
          </cell>
        </row>
        <row r="490">
          <cell r="A490">
            <v>550144</v>
          </cell>
          <cell r="B490" t="str">
            <v>นาย</v>
          </cell>
          <cell r="C490" t="str">
            <v>คุณารักษ์</v>
          </cell>
          <cell r="D490" t="str">
            <v>คุณากูลสวัสดิ์</v>
          </cell>
          <cell r="E490" t="str">
            <v>ผบ.วบก.</v>
          </cell>
          <cell r="F490" t="str">
            <v>Maintenance</v>
          </cell>
          <cell r="G490">
            <v>37.708418891170432</v>
          </cell>
          <cell r="H490" t="str">
            <v>Male</v>
          </cell>
          <cell r="I490" t="str">
            <v>ไม่สูบ</v>
          </cell>
          <cell r="J490">
            <v>124</v>
          </cell>
          <cell r="K490">
            <v>178.5</v>
          </cell>
          <cell r="L490">
            <v>92.4</v>
          </cell>
          <cell r="M490">
            <v>28.99983522820893</v>
          </cell>
          <cell r="N490">
            <v>101</v>
          </cell>
          <cell r="O490" t="str">
            <v>ไม่มี</v>
          </cell>
          <cell r="P490">
            <v>93</v>
          </cell>
          <cell r="Q490">
            <v>223</v>
          </cell>
          <cell r="R490">
            <v>1</v>
          </cell>
          <cell r="S490">
            <v>0</v>
          </cell>
          <cell r="T490">
            <v>0</v>
          </cell>
          <cell r="U490">
            <v>6.5375899178644765</v>
          </cell>
          <cell r="V490">
            <v>2.148894618299324</v>
          </cell>
          <cell r="W490" t="str">
            <v>ความเสี่ยงต่ำ</v>
          </cell>
        </row>
        <row r="491">
          <cell r="A491">
            <v>360073</v>
          </cell>
          <cell r="B491" t="str">
            <v>นาย</v>
          </cell>
          <cell r="C491" t="str">
            <v>อรุณ</v>
          </cell>
          <cell r="D491" t="str">
            <v>อินทนาศักดิ์</v>
          </cell>
          <cell r="E491" t="str">
            <v>ปก.สยก.</v>
          </cell>
          <cell r="F491" t="str">
            <v>Operation</v>
          </cell>
          <cell r="G491">
            <v>57.407255304585902</v>
          </cell>
          <cell r="H491" t="str">
            <v>Male</v>
          </cell>
          <cell r="I491" t="str">
            <v>ไม่สูบ</v>
          </cell>
          <cell r="J491">
            <v>113</v>
          </cell>
          <cell r="K491">
            <v>168.5</v>
          </cell>
          <cell r="L491">
            <v>78.400000000000006</v>
          </cell>
          <cell r="M491">
            <v>27.613169086634556</v>
          </cell>
          <cell r="N491">
            <v>94</v>
          </cell>
          <cell r="O491" t="str">
            <v>โรครูมาตอยด์</v>
          </cell>
          <cell r="P491">
            <v>83</v>
          </cell>
          <cell r="Q491">
            <v>199</v>
          </cell>
          <cell r="R491">
            <v>1</v>
          </cell>
          <cell r="S491">
            <v>0</v>
          </cell>
          <cell r="T491">
            <v>0</v>
          </cell>
          <cell r="U491">
            <v>7.8694257015742641</v>
          </cell>
          <cell r="V491">
            <v>7.8992655069380691</v>
          </cell>
          <cell r="W491" t="str">
            <v>ความเสี่ยงต่ำ</v>
          </cell>
        </row>
        <row r="492">
          <cell r="A492">
            <v>360067</v>
          </cell>
          <cell r="B492" t="str">
            <v>นาย</v>
          </cell>
          <cell r="C492" t="str">
            <v>วรทัต</v>
          </cell>
          <cell r="D492" t="str">
            <v>บรรลือเขตร์</v>
          </cell>
          <cell r="E492" t="str">
            <v>ยยก.</v>
          </cell>
          <cell r="F492" t="str">
            <v>Operation</v>
          </cell>
          <cell r="G492">
            <v>52.717316906228611</v>
          </cell>
          <cell r="H492" t="str">
            <v>Male</v>
          </cell>
          <cell r="I492" t="str">
            <v>ไม่สูบ</v>
          </cell>
          <cell r="J492">
            <v>114</v>
          </cell>
          <cell r="K492">
            <v>170</v>
          </cell>
          <cell r="L492">
            <v>65.599999999999994</v>
          </cell>
          <cell r="M492">
            <v>22.698961937716259</v>
          </cell>
          <cell r="N492">
            <v>82</v>
          </cell>
          <cell r="O492" t="str">
            <v>หมอนรองกระดูกเสื่อม</v>
          </cell>
          <cell r="P492">
            <v>95</v>
          </cell>
          <cell r="Q492">
            <v>130</v>
          </cell>
          <cell r="R492">
            <v>1</v>
          </cell>
          <cell r="S492">
            <v>0</v>
          </cell>
          <cell r="T492">
            <v>0</v>
          </cell>
          <cell r="U492">
            <v>7.3602080424366862</v>
          </cell>
          <cell r="V492">
            <v>4.8248981470625836</v>
          </cell>
          <cell r="W492" t="str">
            <v>ความเสี่ยงต่ำ</v>
          </cell>
        </row>
        <row r="493">
          <cell r="A493">
            <v>490195</v>
          </cell>
          <cell r="B493" t="str">
            <v>นาย</v>
          </cell>
          <cell r="C493" t="str">
            <v>สุพิชณ์</v>
          </cell>
          <cell r="D493" t="str">
            <v>เธียรเมธาวุฒิ</v>
          </cell>
          <cell r="E493" t="str">
            <v>ตร.วบก.</v>
          </cell>
          <cell r="F493" t="str">
            <v>Maintenance</v>
          </cell>
          <cell r="G493">
            <v>45.075975359342905</v>
          </cell>
          <cell r="H493" t="str">
            <v>Male</v>
          </cell>
          <cell r="I493" t="str">
            <v>สูบ 6-7 มวนต่อวัน</v>
          </cell>
          <cell r="J493">
            <v>117</v>
          </cell>
          <cell r="K493">
            <v>169</v>
          </cell>
          <cell r="L493">
            <v>61.6</v>
          </cell>
          <cell r="M493">
            <v>21.567872273379784</v>
          </cell>
          <cell r="N493">
            <v>80</v>
          </cell>
          <cell r="O493" t="str">
            <v>โรคความดันโลหิตสูง ไขมันในเลือดสูง โรคเก๊าท์</v>
          </cell>
          <cell r="P493">
            <v>110</v>
          </cell>
          <cell r="Q493">
            <v>254</v>
          </cell>
          <cell r="R493">
            <v>1</v>
          </cell>
          <cell r="S493">
            <v>1</v>
          </cell>
          <cell r="T493">
            <v>0</v>
          </cell>
          <cell r="U493">
            <v>7.4794770636550307</v>
          </cell>
          <cell r="V493">
            <v>5.4192313638722567</v>
          </cell>
          <cell r="W493" t="str">
            <v>ความเสี่ยงต่ำ</v>
          </cell>
        </row>
        <row r="494">
          <cell r="A494">
            <v>530110</v>
          </cell>
          <cell r="B494" t="str">
            <v>นาย</v>
          </cell>
          <cell r="C494" t="str">
            <v>ฐีระ</v>
          </cell>
          <cell r="D494" t="str">
            <v>ประยูรพิทักษ์</v>
          </cell>
          <cell r="E494" t="str">
            <v>วก.วบก.</v>
          </cell>
          <cell r="F494" t="str">
            <v>Maintenance</v>
          </cell>
          <cell r="G494">
            <v>41.015742642026005</v>
          </cell>
          <cell r="H494" t="str">
            <v>Male</v>
          </cell>
          <cell r="I494" t="str">
            <v>ไม่สูบ</v>
          </cell>
          <cell r="J494">
            <v>130</v>
          </cell>
          <cell r="K494">
            <v>176</v>
          </cell>
          <cell r="L494">
            <v>85.9</v>
          </cell>
          <cell r="M494">
            <v>27.731146694214875</v>
          </cell>
          <cell r="N494">
            <v>97</v>
          </cell>
          <cell r="O494" t="str">
            <v>ไม่มี</v>
          </cell>
          <cell r="P494">
            <v>92</v>
          </cell>
          <cell r="Q494">
            <v>235</v>
          </cell>
          <cell r="R494">
            <v>1</v>
          </cell>
          <cell r="S494">
            <v>0</v>
          </cell>
          <cell r="T494">
            <v>0</v>
          </cell>
          <cell r="U494">
            <v>6.9587082203969883</v>
          </cell>
          <cell r="V494">
            <v>3.2557088760318265</v>
          </cell>
          <cell r="W494" t="str">
            <v>ความเสี่ยงต่ำ</v>
          </cell>
        </row>
        <row r="495">
          <cell r="A495">
            <v>410055</v>
          </cell>
          <cell r="B495" t="str">
            <v>นาย</v>
          </cell>
          <cell r="C495" t="str">
            <v>ศรวัสย์</v>
          </cell>
          <cell r="D495" t="str">
            <v>หวังงำทรัพย์</v>
          </cell>
          <cell r="E495" t="str">
            <v>ผ.ปก.A คธ.</v>
          </cell>
          <cell r="F495" t="str">
            <v>Operation</v>
          </cell>
          <cell r="G495">
            <v>50.57631759069131</v>
          </cell>
          <cell r="H495" t="str">
            <v>Male</v>
          </cell>
          <cell r="I495" t="str">
            <v>ไม่สูบ</v>
          </cell>
          <cell r="J495">
            <v>121</v>
          </cell>
          <cell r="K495">
            <v>164</v>
          </cell>
          <cell r="L495">
            <v>66.2</v>
          </cell>
          <cell r="M495">
            <v>24.613325401546696</v>
          </cell>
          <cell r="N495">
            <v>87</v>
          </cell>
          <cell r="O495" t="str">
            <v>ไม่มี</v>
          </cell>
          <cell r="P495">
            <v>91</v>
          </cell>
          <cell r="Q495">
            <v>217</v>
          </cell>
          <cell r="R495">
            <v>1</v>
          </cell>
          <cell r="S495">
            <v>0</v>
          </cell>
          <cell r="T495">
            <v>0</v>
          </cell>
          <cell r="U495">
            <v>7.5153300684462705</v>
          </cell>
          <cell r="V495">
            <v>5.6113969325451869</v>
          </cell>
          <cell r="W495" t="str">
            <v>ความเสี่ยงต่ำ</v>
          </cell>
        </row>
        <row r="496">
          <cell r="A496">
            <v>430002</v>
          </cell>
          <cell r="B496" t="str">
            <v>นาย</v>
          </cell>
          <cell r="C496" t="str">
            <v>นิพนธ์</v>
          </cell>
          <cell r="D496" t="str">
            <v>คนองชัยยศ</v>
          </cell>
          <cell r="E496" t="str">
            <v>ทผก.</v>
          </cell>
          <cell r="F496" t="str">
            <v>Support</v>
          </cell>
          <cell r="G496">
            <v>47.786447638603697</v>
          </cell>
          <cell r="H496" t="str">
            <v>Male</v>
          </cell>
          <cell r="I496" t="str">
            <v>ไม่สูบ</v>
          </cell>
          <cell r="J496">
            <v>103</v>
          </cell>
          <cell r="K496">
            <v>184.5</v>
          </cell>
          <cell r="L496">
            <v>73.599999999999994</v>
          </cell>
          <cell r="M496">
            <v>21.621462827094398</v>
          </cell>
          <cell r="N496">
            <v>88</v>
          </cell>
          <cell r="O496" t="str">
            <v>ไม่มี</v>
          </cell>
          <cell r="P496">
            <v>87</v>
          </cell>
          <cell r="Q496">
            <v>228</v>
          </cell>
          <cell r="R496">
            <v>1</v>
          </cell>
          <cell r="S496">
            <v>0</v>
          </cell>
          <cell r="T496">
            <v>0</v>
          </cell>
          <cell r="U496">
            <v>6.9352350102669407</v>
          </cell>
          <cell r="V496">
            <v>3.1813914802844789</v>
          </cell>
          <cell r="W496" t="str">
            <v>ความเสี่ยงต่ำ</v>
          </cell>
        </row>
        <row r="497">
          <cell r="A497">
            <v>650023</v>
          </cell>
          <cell r="B497" t="str">
            <v>นางสาว</v>
          </cell>
          <cell r="C497" t="str">
            <v>สิริวิมล</v>
          </cell>
          <cell r="D497" t="str">
            <v>มีทอง</v>
          </cell>
          <cell r="E497" t="str">
            <v>ผ.จด.พย.</v>
          </cell>
          <cell r="F497" t="str">
            <v>Support</v>
          </cell>
          <cell r="G497">
            <v>26.316221765913753</v>
          </cell>
          <cell r="H497" t="str">
            <v>Female</v>
          </cell>
          <cell r="I497" t="str">
            <v>ไม่สูบ</v>
          </cell>
          <cell r="J497">
            <v>114</v>
          </cell>
          <cell r="K497">
            <v>169.5</v>
          </cell>
          <cell r="L497">
            <v>72.5</v>
          </cell>
          <cell r="M497">
            <v>25.23472646426676</v>
          </cell>
          <cell r="N497">
            <v>80</v>
          </cell>
          <cell r="O497" t="str">
            <v>ไม่มี</v>
          </cell>
          <cell r="P497">
            <v>83</v>
          </cell>
          <cell r="Q497">
            <v>193</v>
          </cell>
          <cell r="R497">
            <v>0</v>
          </cell>
          <cell r="S497">
            <v>0</v>
          </cell>
          <cell r="T497">
            <v>0</v>
          </cell>
          <cell r="U497">
            <v>4.938376427104723</v>
          </cell>
          <cell r="V497">
            <v>0.43796695447454459</v>
          </cell>
          <cell r="W497" t="str">
            <v>ความเสี่ยงต่ำ</v>
          </cell>
        </row>
        <row r="498">
          <cell r="A498">
            <v>490038</v>
          </cell>
          <cell r="B498" t="str">
            <v>นาย</v>
          </cell>
          <cell r="C498" t="str">
            <v>เอกชัย</v>
          </cell>
          <cell r="D498" t="str">
            <v>วงศ์รู้การ</v>
          </cell>
          <cell r="E498" t="str">
            <v>บค.วบก.</v>
          </cell>
          <cell r="F498" t="str">
            <v>Maintenance</v>
          </cell>
          <cell r="G498">
            <v>43.997262149212865</v>
          </cell>
          <cell r="H498" t="str">
            <v>Male</v>
          </cell>
          <cell r="I498" t="str">
            <v>ไม่สูบ</v>
          </cell>
          <cell r="J498">
            <v>123</v>
          </cell>
          <cell r="K498">
            <v>179</v>
          </cell>
          <cell r="L498">
            <v>69.099999999999994</v>
          </cell>
          <cell r="M498">
            <v>21.566118410786181</v>
          </cell>
          <cell r="N498">
            <v>81</v>
          </cell>
          <cell r="O498" t="str">
            <v>โรคภูมิแพ้</v>
          </cell>
          <cell r="P498">
            <v>88</v>
          </cell>
          <cell r="Q498">
            <v>197</v>
          </cell>
          <cell r="R498">
            <v>1</v>
          </cell>
          <cell r="S498">
            <v>0</v>
          </cell>
          <cell r="T498">
            <v>0</v>
          </cell>
          <cell r="U498">
            <v>6.9762459616700898</v>
          </cell>
          <cell r="V498">
            <v>3.3123456821270714</v>
          </cell>
          <cell r="W498" t="str">
            <v>ความเสี่ยงต่ำ</v>
          </cell>
        </row>
        <row r="499">
          <cell r="A499">
            <v>520088</v>
          </cell>
          <cell r="B499" t="str">
            <v>นาย</v>
          </cell>
          <cell r="C499" t="str">
            <v>พชรพล</v>
          </cell>
          <cell r="D499" t="str">
            <v>นาวาประดิษฐ</v>
          </cell>
          <cell r="E499" t="str">
            <v>ผ.ปก.B ปก.</v>
          </cell>
          <cell r="F499" t="str">
            <v>Operation</v>
          </cell>
          <cell r="G499">
            <v>36.309377138945926</v>
          </cell>
          <cell r="H499" t="str">
            <v>Male</v>
          </cell>
          <cell r="I499" t="str">
            <v>ไม่สูบ</v>
          </cell>
          <cell r="J499">
            <v>117</v>
          </cell>
          <cell r="K499">
            <v>167.5</v>
          </cell>
          <cell r="L499">
            <v>64.5</v>
          </cell>
          <cell r="M499">
            <v>22.989529962129648</v>
          </cell>
          <cell r="N499">
            <v>78</v>
          </cell>
          <cell r="O499" t="str">
            <v>ไม่มี</v>
          </cell>
          <cell r="P499">
            <v>96</v>
          </cell>
          <cell r="Q499">
            <v>212</v>
          </cell>
          <cell r="R499">
            <v>1</v>
          </cell>
          <cell r="S499">
            <v>0</v>
          </cell>
          <cell r="T499">
            <v>0</v>
          </cell>
          <cell r="U499">
            <v>6.2539063312799454</v>
          </cell>
          <cell r="V499">
            <v>1.6224611757579055</v>
          </cell>
          <cell r="W499" t="str">
            <v>ความเสี่ยงต่ำ</v>
          </cell>
        </row>
        <row r="500">
          <cell r="A500">
            <v>550205</v>
          </cell>
          <cell r="B500" t="str">
            <v>นาย</v>
          </cell>
          <cell r="C500" t="str">
            <v>พิชิตชัย</v>
          </cell>
          <cell r="D500" t="str">
            <v>นิ่มนวล</v>
          </cell>
          <cell r="E500" t="str">
            <v>คผ.D ปล.</v>
          </cell>
          <cell r="F500" t="str">
            <v>Operation</v>
          </cell>
          <cell r="G500">
            <v>34.138261464750173</v>
          </cell>
          <cell r="H500" t="str">
            <v>Male</v>
          </cell>
          <cell r="I500" t="str">
            <v>ไม่สูบ</v>
          </cell>
          <cell r="J500">
            <v>131</v>
          </cell>
          <cell r="K500">
            <v>169.5</v>
          </cell>
          <cell r="L500">
            <v>80.400000000000006</v>
          </cell>
          <cell r="M500">
            <v>27.984441485890304</v>
          </cell>
          <cell r="N500">
            <v>92</v>
          </cell>
          <cell r="O500" t="str">
            <v>ไขมันในเลือดสูง</v>
          </cell>
          <cell r="P500">
            <v>88</v>
          </cell>
          <cell r="Q500">
            <v>172</v>
          </cell>
          <cell r="R500">
            <v>1</v>
          </cell>
          <cell r="S500">
            <v>0</v>
          </cell>
          <cell r="T500">
            <v>0</v>
          </cell>
          <cell r="U500">
            <v>6.2832039356605058</v>
          </cell>
          <cell r="V500">
            <v>1.6702934888922161</v>
          </cell>
          <cell r="W500" t="str">
            <v>ความเสี่ยงต่ำ</v>
          </cell>
        </row>
        <row r="501">
          <cell r="A501">
            <v>610211</v>
          </cell>
          <cell r="B501" t="str">
            <v>นาย</v>
          </cell>
          <cell r="C501" t="str">
            <v>ทศพล</v>
          </cell>
          <cell r="D501" t="str">
            <v>ปานสัสดี</v>
          </cell>
          <cell r="E501" t="str">
            <v>วผ.ทผก.</v>
          </cell>
          <cell r="F501" t="str">
            <v>Support</v>
          </cell>
          <cell r="G501">
            <v>33.957563312799451</v>
          </cell>
          <cell r="H501" t="str">
            <v>Male</v>
          </cell>
          <cell r="I501" t="str">
            <v>ไม่สูบ</v>
          </cell>
          <cell r="J501">
            <v>123</v>
          </cell>
          <cell r="K501">
            <v>173</v>
          </cell>
          <cell r="L501">
            <v>56.8</v>
          </cell>
          <cell r="M501">
            <v>18.978248521500884</v>
          </cell>
          <cell r="N501">
            <v>74</v>
          </cell>
          <cell r="O501" t="str">
            <v>ไม่มี</v>
          </cell>
          <cell r="P501">
            <v>85</v>
          </cell>
          <cell r="Q501">
            <v>200</v>
          </cell>
          <cell r="R501">
            <v>1</v>
          </cell>
          <cell r="S501">
            <v>0</v>
          </cell>
          <cell r="T501">
            <v>0</v>
          </cell>
          <cell r="U501">
            <v>6.1610574058863792</v>
          </cell>
          <cell r="V501">
            <v>1.4796693248130155</v>
          </cell>
          <cell r="W501" t="str">
            <v>ความเสี่ยงต่ำ</v>
          </cell>
        </row>
        <row r="502">
          <cell r="A502">
            <v>660087</v>
          </cell>
          <cell r="B502" t="str">
            <v>นางสาว</v>
          </cell>
          <cell r="C502" t="str">
            <v>ณัฐธยาน์</v>
          </cell>
          <cell r="D502" t="str">
            <v>สุวรรณรัตน์</v>
          </cell>
          <cell r="E502" t="str">
            <v>พน.บรก.</v>
          </cell>
          <cell r="F502" t="str">
            <v>Support</v>
          </cell>
          <cell r="G502">
            <v>26.913073237508552</v>
          </cell>
          <cell r="H502" t="str">
            <v>Female</v>
          </cell>
          <cell r="I502" t="str">
            <v>ไม่สูบ</v>
          </cell>
          <cell r="J502">
            <v>112</v>
          </cell>
          <cell r="K502">
            <v>162</v>
          </cell>
          <cell r="L502">
            <v>51.2</v>
          </cell>
          <cell r="M502">
            <v>19.509221155311689</v>
          </cell>
          <cell r="N502">
            <v>65</v>
          </cell>
          <cell r="O502" t="str">
            <v>ไม่มี</v>
          </cell>
          <cell r="P502">
            <v>81</v>
          </cell>
          <cell r="Q502">
            <v>258</v>
          </cell>
          <cell r="R502">
            <v>0</v>
          </cell>
          <cell r="S502">
            <v>0</v>
          </cell>
          <cell r="T502">
            <v>0</v>
          </cell>
          <cell r="U502">
            <v>5.0833367830253255</v>
          </cell>
          <cell r="V502">
            <v>0.50611389670843776</v>
          </cell>
          <cell r="W502" t="str">
            <v>ความเสี่ยงต่ำ</v>
          </cell>
        </row>
        <row r="503">
          <cell r="A503">
            <v>470064</v>
          </cell>
          <cell r="B503" t="str">
            <v>นาย</v>
          </cell>
          <cell r="C503" t="str">
            <v>ภูริวัจน</v>
          </cell>
          <cell r="D503" t="str">
            <v>พุกภิญโญ</v>
          </cell>
          <cell r="E503" t="str">
            <v>ผ.ปก.C ปอ.</v>
          </cell>
          <cell r="F503" t="str">
            <v>Operation</v>
          </cell>
          <cell r="G503">
            <v>42.094455852156052</v>
          </cell>
          <cell r="H503" t="str">
            <v>Male</v>
          </cell>
          <cell r="I503" t="str">
            <v>ไม่สูบ</v>
          </cell>
          <cell r="J503">
            <v>123</v>
          </cell>
          <cell r="K503">
            <v>169</v>
          </cell>
          <cell r="L503">
            <v>59.8</v>
          </cell>
          <cell r="M503">
            <v>20.937642239417389</v>
          </cell>
          <cell r="N503">
            <v>79</v>
          </cell>
          <cell r="O503" t="str">
            <v>ไม่มี</v>
          </cell>
          <cell r="P503">
            <v>94</v>
          </cell>
          <cell r="Q503">
            <v>221</v>
          </cell>
          <cell r="R503">
            <v>1</v>
          </cell>
          <cell r="S503">
            <v>0</v>
          </cell>
          <cell r="T503">
            <v>0</v>
          </cell>
          <cell r="U503">
            <v>6.8714193223819295</v>
          </cell>
          <cell r="V503">
            <v>2.9876799546291077</v>
          </cell>
          <cell r="W503" t="str">
            <v>ความเสี่ยงต่ำ</v>
          </cell>
        </row>
        <row r="504">
          <cell r="A504">
            <v>670041</v>
          </cell>
          <cell r="B504" t="str">
            <v>นาย</v>
          </cell>
          <cell r="C504" t="str">
            <v>สิทธิกร</v>
          </cell>
          <cell r="D504" t="str">
            <v>แย้มเกษร</v>
          </cell>
          <cell r="E504" t="str">
            <v>พน.บรก.</v>
          </cell>
          <cell r="F504" t="str">
            <v>Support</v>
          </cell>
          <cell r="G504">
            <v>26.006844626967826</v>
          </cell>
          <cell r="H504" t="str">
            <v>Male</v>
          </cell>
          <cell r="I504" t="str">
            <v>ไม่สูบ</v>
          </cell>
          <cell r="J504">
            <v>119</v>
          </cell>
          <cell r="K504">
            <v>181</v>
          </cell>
          <cell r="L504">
            <v>94.8</v>
          </cell>
          <cell r="M504">
            <v>28.936845639632491</v>
          </cell>
          <cell r="N504">
            <v>98</v>
          </cell>
          <cell r="O504" t="str">
            <v>ไม่มี</v>
          </cell>
          <cell r="P504">
            <v>75</v>
          </cell>
          <cell r="Q504">
            <v>191</v>
          </cell>
          <cell r="R504">
            <v>1</v>
          </cell>
          <cell r="S504">
            <v>0</v>
          </cell>
          <cell r="T504">
            <v>0</v>
          </cell>
          <cell r="U504">
            <v>5.4080100958247774</v>
          </cell>
          <cell r="V504">
            <v>0.69956792393059963</v>
          </cell>
          <cell r="W504" t="str">
            <v>ความเสี่ยงต่ำ</v>
          </cell>
        </row>
        <row r="505">
          <cell r="A505">
            <v>500160</v>
          </cell>
          <cell r="B505" t="str">
            <v>นาย</v>
          </cell>
          <cell r="C505" t="str">
            <v>สมภพ</v>
          </cell>
          <cell r="D505" t="str">
            <v>อุไรพันธุ์</v>
          </cell>
          <cell r="E505" t="str">
            <v>คผ.C ปผ.</v>
          </cell>
          <cell r="F505" t="str">
            <v>Operation</v>
          </cell>
          <cell r="G505">
            <v>38.87748117727584</v>
          </cell>
          <cell r="H505" t="str">
            <v>Male</v>
          </cell>
          <cell r="I505" t="str">
            <v>ไม่ระบุ</v>
          </cell>
          <cell r="J505">
            <v>131</v>
          </cell>
          <cell r="K505">
            <v>167.5</v>
          </cell>
          <cell r="L505">
            <v>62.4</v>
          </cell>
          <cell r="M505">
            <v>22.241033637781243</v>
          </cell>
          <cell r="N505">
            <v>82</v>
          </cell>
          <cell r="O505" t="str">
            <v>ไม่มี</v>
          </cell>
          <cell r="P505">
            <v>90</v>
          </cell>
          <cell r="Q505">
            <v>210</v>
          </cell>
          <cell r="R505">
            <v>1</v>
          </cell>
          <cell r="S505">
            <v>1</v>
          </cell>
          <cell r="T505">
            <v>0</v>
          </cell>
          <cell r="U505">
            <v>7.1707342847364819</v>
          </cell>
          <cell r="V505">
            <v>4.0090389859297364</v>
          </cell>
          <cell r="W505" t="str">
            <v>ความเสี่ยงต่ำ</v>
          </cell>
        </row>
        <row r="506">
          <cell r="A506">
            <v>670053</v>
          </cell>
          <cell r="B506" t="str">
            <v>นาย</v>
          </cell>
          <cell r="C506" t="str">
            <v>ภัทรกร</v>
          </cell>
          <cell r="D506" t="str">
            <v>ต่างประโคน</v>
          </cell>
          <cell r="E506" t="str">
            <v>บง.วบก.</v>
          </cell>
          <cell r="F506" t="str">
            <v>Maintenance</v>
          </cell>
          <cell r="G506">
            <v>28.024640657084184</v>
          </cell>
          <cell r="H506" t="str">
            <v>Male</v>
          </cell>
          <cell r="I506" t="str">
            <v>ไม่สูบ</v>
          </cell>
          <cell r="J506">
            <v>123</v>
          </cell>
          <cell r="K506">
            <v>177</v>
          </cell>
          <cell r="L506">
            <v>84.4</v>
          </cell>
          <cell r="M506">
            <v>26.939895943055955</v>
          </cell>
          <cell r="N506">
            <v>90</v>
          </cell>
          <cell r="O506" t="str">
            <v>ไม่มี</v>
          </cell>
          <cell r="P506">
            <v>79</v>
          </cell>
          <cell r="Q506">
            <v>193</v>
          </cell>
          <cell r="R506">
            <v>1</v>
          </cell>
          <cell r="S506">
            <v>0</v>
          </cell>
          <cell r="T506">
            <v>0</v>
          </cell>
          <cell r="U506">
            <v>5.6607263449691985</v>
          </cell>
          <cell r="V506">
            <v>0.89979887575321049</v>
          </cell>
          <cell r="W506" t="str">
            <v>ความเสี่ยงต่ำ</v>
          </cell>
        </row>
        <row r="507">
          <cell r="A507">
            <v>640126</v>
          </cell>
          <cell r="B507" t="str">
            <v>นาย</v>
          </cell>
          <cell r="C507" t="str">
            <v>ธนวัฒน์</v>
          </cell>
          <cell r="D507" t="str">
            <v>วรรณดอนแดง</v>
          </cell>
          <cell r="E507" t="str">
            <v>กผ.ทผก.</v>
          </cell>
          <cell r="F507" t="str">
            <v>Support</v>
          </cell>
          <cell r="G507">
            <v>32.095824777549623</v>
          </cell>
          <cell r="H507" t="str">
            <v>Male</v>
          </cell>
          <cell r="I507" t="str">
            <v>ไม่สูบ</v>
          </cell>
          <cell r="J507">
            <v>130</v>
          </cell>
          <cell r="K507">
            <v>173.5</v>
          </cell>
          <cell r="L507">
            <v>80.099999999999994</v>
          </cell>
          <cell r="M507">
            <v>26.609306613293025</v>
          </cell>
          <cell r="N507">
            <v>96</v>
          </cell>
          <cell r="O507" t="str">
            <v>ไขมันในเลือดสูง</v>
          </cell>
          <cell r="P507">
            <v>88</v>
          </cell>
          <cell r="Q507">
            <v>253</v>
          </cell>
          <cell r="R507">
            <v>1</v>
          </cell>
          <cell r="S507">
            <v>0</v>
          </cell>
          <cell r="T507">
            <v>0</v>
          </cell>
          <cell r="U507">
            <v>6.2669513415468856</v>
          </cell>
          <cell r="V507">
            <v>1.6435888164170742</v>
          </cell>
          <cell r="W507" t="str">
            <v>ความเสี่ยงต่ำ</v>
          </cell>
        </row>
        <row r="508">
          <cell r="A508">
            <v>480243</v>
          </cell>
          <cell r="B508" t="str">
            <v>นาย</v>
          </cell>
          <cell r="C508" t="str">
            <v>นพรัตน์</v>
          </cell>
          <cell r="D508" t="str">
            <v>พวงแก้ว</v>
          </cell>
          <cell r="E508" t="str">
            <v>คผ.D ปต.</v>
          </cell>
          <cell r="F508" t="str">
            <v>Operation</v>
          </cell>
          <cell r="G508">
            <v>41.155373032169749</v>
          </cell>
          <cell r="H508" t="str">
            <v>Male</v>
          </cell>
          <cell r="I508" t="str">
            <v>ไม่สูบ</v>
          </cell>
          <cell r="J508">
            <v>127</v>
          </cell>
          <cell r="K508">
            <v>172</v>
          </cell>
          <cell r="L508">
            <v>92.4</v>
          </cell>
          <cell r="M508">
            <v>31.233098972417523</v>
          </cell>
          <cell r="N508">
            <v>107</v>
          </cell>
          <cell r="O508" t="str">
            <v>ไม่มี</v>
          </cell>
          <cell r="P508">
            <v>105</v>
          </cell>
          <cell r="Q508">
            <v>195</v>
          </cell>
          <cell r="R508">
            <v>1</v>
          </cell>
          <cell r="S508">
            <v>0</v>
          </cell>
          <cell r="T508">
            <v>0</v>
          </cell>
          <cell r="U508">
            <v>6.82281417522245</v>
          </cell>
          <cell r="V508">
            <v>2.8479743174642191</v>
          </cell>
          <cell r="W508" t="str">
            <v>ความเสี่ยงต่ำ</v>
          </cell>
        </row>
        <row r="509">
          <cell r="A509">
            <v>660077</v>
          </cell>
          <cell r="B509" t="str">
            <v>นาย</v>
          </cell>
          <cell r="C509" t="str">
            <v>ธนโชติ</v>
          </cell>
          <cell r="D509" t="str">
            <v>ถวิลเติมทรัพย์</v>
          </cell>
          <cell r="E509" t="str">
            <v>ตร.วบก.</v>
          </cell>
          <cell r="F509" t="str">
            <v>Maintenance</v>
          </cell>
          <cell r="G509">
            <v>25.642710472279255</v>
          </cell>
          <cell r="H509" t="str">
            <v>Male</v>
          </cell>
          <cell r="I509" t="str">
            <v>ไม่สูบ</v>
          </cell>
          <cell r="J509">
            <v>126</v>
          </cell>
          <cell r="K509">
            <v>164</v>
          </cell>
          <cell r="L509">
            <v>81.2</v>
          </cell>
          <cell r="M509">
            <v>30.190362879238549</v>
          </cell>
          <cell r="N509">
            <v>91</v>
          </cell>
          <cell r="O509" t="str">
            <v>ไม่มี</v>
          </cell>
          <cell r="P509">
            <v>81</v>
          </cell>
          <cell r="Q509">
            <v>237</v>
          </cell>
          <cell r="R509">
            <v>1</v>
          </cell>
          <cell r="S509">
            <v>0</v>
          </cell>
          <cell r="T509">
            <v>0</v>
          </cell>
          <cell r="U509">
            <v>5.6216129979466114</v>
          </cell>
          <cell r="V509">
            <v>0.86543391644087198</v>
          </cell>
          <cell r="W509" t="str">
            <v>ความเสี่ยงต่ำ</v>
          </cell>
        </row>
        <row r="510">
          <cell r="A510">
            <v>680021</v>
          </cell>
          <cell r="B510" t="str">
            <v>นาย</v>
          </cell>
          <cell r="C510" t="str">
            <v>ธีรกานต์</v>
          </cell>
          <cell r="D510" t="str">
            <v>ภักดีจิตร</v>
          </cell>
          <cell r="E510" t="str">
            <v>บง.วบก.</v>
          </cell>
          <cell r="F510" t="str">
            <v>Maintenance</v>
          </cell>
          <cell r="G510">
            <v>23.507186858316217</v>
          </cell>
          <cell r="H510" t="str">
            <v>Male</v>
          </cell>
          <cell r="I510" t="str">
            <v>ไม่สูบ</v>
          </cell>
          <cell r="J510">
            <v>112</v>
          </cell>
          <cell r="K510">
            <v>173.5</v>
          </cell>
          <cell r="L510">
            <v>64.7</v>
          </cell>
          <cell r="M510">
            <v>21.493409961049426</v>
          </cell>
          <cell r="N510">
            <v>72</v>
          </cell>
          <cell r="O510" t="str">
            <v>ไม่มี</v>
          </cell>
          <cell r="P510">
            <v>80</v>
          </cell>
          <cell r="Q510">
            <v>172</v>
          </cell>
          <cell r="R510">
            <v>1</v>
          </cell>
          <cell r="S510">
            <v>0</v>
          </cell>
          <cell r="T510">
            <v>0</v>
          </cell>
          <cell r="U510">
            <v>5.017303100616016</v>
          </cell>
          <cell r="V510">
            <v>0.4738496308209883</v>
          </cell>
          <cell r="W510" t="str">
            <v>ความเสี่ยงต่ำ</v>
          </cell>
        </row>
        <row r="511">
          <cell r="A511">
            <v>480194</v>
          </cell>
          <cell r="B511" t="str">
            <v>นาย</v>
          </cell>
          <cell r="C511" t="str">
            <v>วิสูตร</v>
          </cell>
          <cell r="D511" t="str">
            <v>พรมชาวเฉียง</v>
          </cell>
          <cell r="E511" t="str">
            <v>ผ.ปก.D ปก.</v>
          </cell>
          <cell r="F511" t="str">
            <v>Operation</v>
          </cell>
          <cell r="G511">
            <v>45.954825462012323</v>
          </cell>
          <cell r="H511" t="str">
            <v>Male</v>
          </cell>
          <cell r="I511" t="str">
            <v>ไม่สูบ</v>
          </cell>
          <cell r="J511">
            <v>134</v>
          </cell>
          <cell r="K511">
            <v>170</v>
          </cell>
          <cell r="L511">
            <v>73.400000000000006</v>
          </cell>
          <cell r="M511">
            <v>25.397923875432525</v>
          </cell>
          <cell r="N511">
            <v>96</v>
          </cell>
          <cell r="O511" t="str">
            <v>โลหิตจาง</v>
          </cell>
          <cell r="P511">
            <v>94</v>
          </cell>
          <cell r="Q511">
            <v>161</v>
          </cell>
          <cell r="R511">
            <v>1</v>
          </cell>
          <cell r="S511">
            <v>0</v>
          </cell>
          <cell r="T511">
            <v>0</v>
          </cell>
          <cell r="U511">
            <v>7.2893533675564681</v>
          </cell>
          <cell r="V511">
            <v>4.5024099926696977</v>
          </cell>
          <cell r="W511" t="str">
            <v>ความเสี่ยงต่ำ</v>
          </cell>
        </row>
        <row r="512">
          <cell r="A512">
            <v>480028</v>
          </cell>
          <cell r="B512" t="str">
            <v>นาย</v>
          </cell>
          <cell r="C512" t="str">
            <v>วัชราวุฒ</v>
          </cell>
          <cell r="D512" t="str">
            <v>ปรีแผ้ว</v>
          </cell>
          <cell r="E512" t="str">
            <v>บฟ.วบก.</v>
          </cell>
          <cell r="F512" t="str">
            <v>Maintenance</v>
          </cell>
          <cell r="G512">
            <v>43.871321013004788</v>
          </cell>
          <cell r="H512" t="str">
            <v>Male</v>
          </cell>
          <cell r="I512" t="str">
            <v>ไม่สูบ</v>
          </cell>
          <cell r="J512">
            <v>134</v>
          </cell>
          <cell r="K512">
            <v>174</v>
          </cell>
          <cell r="L512">
            <v>102.4</v>
          </cell>
          <cell r="M512">
            <v>33.822169375082566</v>
          </cell>
          <cell r="N512">
            <v>108</v>
          </cell>
          <cell r="O512" t="str">
            <v>หอบหืด</v>
          </cell>
          <cell r="P512">
            <v>175</v>
          </cell>
          <cell r="Q512">
            <v>206</v>
          </cell>
          <cell r="R512">
            <v>1</v>
          </cell>
          <cell r="S512">
            <v>0</v>
          </cell>
          <cell r="T512">
            <v>0</v>
          </cell>
          <cell r="U512">
            <v>7.2142601984941814</v>
          </cell>
          <cell r="V512">
            <v>4.1836065960468076</v>
          </cell>
          <cell r="W512" t="str">
            <v>ความเสี่ยงต่ำ</v>
          </cell>
        </row>
        <row r="513">
          <cell r="A513">
            <v>660117</v>
          </cell>
          <cell r="B513" t="str">
            <v>นางสาว</v>
          </cell>
          <cell r="C513" t="str">
            <v>สุลิสา</v>
          </cell>
          <cell r="D513" t="str">
            <v>โรมวิลาส</v>
          </cell>
          <cell r="E513" t="str">
            <v>ผ.จด.พย.</v>
          </cell>
          <cell r="F513" t="str">
            <v>Support</v>
          </cell>
          <cell r="G513">
            <v>28.038329911019844</v>
          </cell>
          <cell r="H513" t="str">
            <v>Female</v>
          </cell>
          <cell r="I513" t="str">
            <v>ไม่สูบ</v>
          </cell>
          <cell r="J513">
            <v>98</v>
          </cell>
          <cell r="K513">
            <v>160</v>
          </cell>
          <cell r="L513">
            <v>54.7</v>
          </cell>
          <cell r="M513">
            <v>21.3671875</v>
          </cell>
          <cell r="N513">
            <v>71</v>
          </cell>
          <cell r="O513" t="str">
            <v>ไม่มี</v>
          </cell>
          <cell r="P513">
            <v>78</v>
          </cell>
          <cell r="Q513">
            <v>184</v>
          </cell>
          <cell r="R513">
            <v>0</v>
          </cell>
          <cell r="S513">
            <v>0</v>
          </cell>
          <cell r="T513">
            <v>0</v>
          </cell>
          <cell r="U513">
            <v>4.726776536618754</v>
          </cell>
          <cell r="V513">
            <v>0.35458987419969556</v>
          </cell>
          <cell r="W513" t="str">
            <v>ความเสี่ยงต่ำ</v>
          </cell>
        </row>
        <row r="514">
          <cell r="A514">
            <v>570125</v>
          </cell>
          <cell r="B514" t="str">
            <v>นาย</v>
          </cell>
          <cell r="C514" t="str">
            <v>ภาณุพงศ์</v>
          </cell>
          <cell r="D514" t="str">
            <v>เรืองเกษม</v>
          </cell>
          <cell r="E514" t="str">
            <v>บค.วบก.</v>
          </cell>
          <cell r="F514" t="str">
            <v>Maintenance</v>
          </cell>
          <cell r="G514">
            <v>33.963039014373713</v>
          </cell>
          <cell r="H514" t="str">
            <v>Male</v>
          </cell>
          <cell r="I514" t="str">
            <v>ไม่สูบ</v>
          </cell>
          <cell r="J514">
            <v>132</v>
          </cell>
          <cell r="K514">
            <v>180</v>
          </cell>
          <cell r="L514">
            <v>91.7</v>
          </cell>
          <cell r="M514">
            <v>28.302469135802468</v>
          </cell>
          <cell r="N514">
            <v>98</v>
          </cell>
          <cell r="O514" t="str">
            <v>ไม่มี</v>
          </cell>
          <cell r="P514">
            <v>88</v>
          </cell>
          <cell r="Q514">
            <v>210</v>
          </cell>
          <cell r="R514">
            <v>1</v>
          </cell>
          <cell r="S514">
            <v>0</v>
          </cell>
          <cell r="T514">
            <v>0</v>
          </cell>
          <cell r="U514">
            <v>6.3702654825462002</v>
          </cell>
          <cell r="V514">
            <v>1.8208383935501393</v>
          </cell>
          <cell r="W514" t="str">
            <v>ความเสี่ยงต่ำ</v>
          </cell>
        </row>
        <row r="515">
          <cell r="A515">
            <v>490036</v>
          </cell>
          <cell r="B515" t="str">
            <v>นาย</v>
          </cell>
          <cell r="C515" t="str">
            <v>อนุกูล</v>
          </cell>
          <cell r="D515" t="str">
            <v>คงพ่วง</v>
          </cell>
          <cell r="E515" t="str">
            <v>คผ.B ปล.</v>
          </cell>
          <cell r="F515" t="str">
            <v>Operation</v>
          </cell>
          <cell r="G515">
            <v>41.002053388090346</v>
          </cell>
          <cell r="H515" t="str">
            <v>Male</v>
          </cell>
          <cell r="I515" t="str">
            <v>ไม่สูบ</v>
          </cell>
          <cell r="J515">
            <v>120</v>
          </cell>
          <cell r="K515">
            <v>175.5</v>
          </cell>
          <cell r="L515">
            <v>83.4</v>
          </cell>
          <cell r="M515">
            <v>27.077702291377506</v>
          </cell>
          <cell r="N515">
            <v>99</v>
          </cell>
          <cell r="O515" t="str">
            <v>ไม่มี</v>
          </cell>
          <cell r="P515">
            <v>91</v>
          </cell>
          <cell r="Q515">
            <v>267</v>
          </cell>
          <cell r="R515">
            <v>1</v>
          </cell>
          <cell r="S515">
            <v>0</v>
          </cell>
          <cell r="T515">
            <v>0</v>
          </cell>
          <cell r="U515">
            <v>6.8170280287474325</v>
          </cell>
          <cell r="V515">
            <v>2.8317779853220926</v>
          </cell>
          <cell r="W515" t="str">
            <v>ความเสี่ยงต่ำ</v>
          </cell>
        </row>
        <row r="516">
          <cell r="A516">
            <v>580285</v>
          </cell>
          <cell r="B516" t="str">
            <v>นาย</v>
          </cell>
          <cell r="C516" t="str">
            <v>บดินทร์</v>
          </cell>
          <cell r="D516" t="str">
            <v>ฆ้องนอก</v>
          </cell>
          <cell r="E516" t="str">
            <v>คผ.B ปต.</v>
          </cell>
          <cell r="F516" t="str">
            <v>Operation</v>
          </cell>
          <cell r="G516">
            <v>34.573579739904176</v>
          </cell>
          <cell r="H516" t="str">
            <v>Male</v>
          </cell>
          <cell r="I516" t="str">
            <v>ไม่สูบ</v>
          </cell>
          <cell r="J516">
            <v>127</v>
          </cell>
          <cell r="K516">
            <v>171.5</v>
          </cell>
          <cell r="L516">
            <v>78.900000000000006</v>
          </cell>
          <cell r="M516">
            <v>26.825557378303259</v>
          </cell>
          <cell r="N516">
            <v>105</v>
          </cell>
          <cell r="O516" t="str">
            <v>ไม่มี</v>
          </cell>
          <cell r="P516">
            <v>77</v>
          </cell>
          <cell r="Q516">
            <v>267</v>
          </cell>
          <cell r="R516">
            <v>1</v>
          </cell>
          <cell r="S516">
            <v>0</v>
          </cell>
          <cell r="T516">
            <v>0</v>
          </cell>
          <cell r="U516">
            <v>6.4368660301163585</v>
          </cell>
          <cell r="V516">
            <v>1.9450094451450628</v>
          </cell>
          <cell r="W516" t="str">
            <v>ความเสี่ยงต่ำ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D1D3-DC6F-461B-978C-82DD772A989D}">
  <dimension ref="A1:AE136"/>
  <sheetViews>
    <sheetView tabSelected="1" topLeftCell="B122" zoomScale="80" zoomScaleNormal="80" workbookViewId="0">
      <selection activeCell="D130" sqref="D130"/>
    </sheetView>
  </sheetViews>
  <sheetFormatPr defaultRowHeight="22.5" x14ac:dyDescent="0.45"/>
  <cols>
    <col min="3" max="3" width="10" bestFit="1" customWidth="1"/>
    <col min="4" max="4" width="12.625" bestFit="1" customWidth="1"/>
    <col min="6" max="6" width="10.25" bestFit="1" customWidth="1"/>
    <col min="7" max="23" width="0" hidden="1" customWidth="1"/>
    <col min="24" max="24" width="24.375" bestFit="1" customWidth="1"/>
    <col min="25" max="25" width="39.625" style="1" bestFit="1" customWidth="1"/>
    <col min="26" max="26" width="12.75" customWidth="1"/>
    <col min="27" max="27" width="19" customWidth="1"/>
    <col min="28" max="28" width="17.625" customWidth="1"/>
    <col min="29" max="29" width="13.75" style="21" customWidth="1"/>
    <col min="30" max="30" width="12.75" customWidth="1"/>
    <col min="31" max="31" width="20" bestFit="1" customWidth="1"/>
  </cols>
  <sheetData>
    <row r="1" spans="1:31" x14ac:dyDescent="0.4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AE1" t="s">
        <v>349</v>
      </c>
    </row>
    <row r="2" spans="1:31" x14ac:dyDescent="0.45">
      <c r="A2" s="2" t="s">
        <v>347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x14ac:dyDescent="0.45">
      <c r="A3" s="2" t="s">
        <v>348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1" ht="21.75" x14ac:dyDescent="0.4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Z4" s="28" t="s">
        <v>350</v>
      </c>
      <c r="AA4" s="28"/>
      <c r="AB4" s="28"/>
      <c r="AC4" s="28"/>
      <c r="AD4" s="28"/>
    </row>
    <row r="5" spans="1:31" s="19" customFormat="1" ht="65.25" x14ac:dyDescent="0.3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9</v>
      </c>
      <c r="N5" s="17" t="s">
        <v>13</v>
      </c>
      <c r="O5" s="16" t="s">
        <v>14</v>
      </c>
      <c r="P5" s="16" t="s">
        <v>9</v>
      </c>
      <c r="Q5" s="16" t="s">
        <v>15</v>
      </c>
      <c r="R5" s="16" t="s">
        <v>16</v>
      </c>
      <c r="S5" s="16" t="s">
        <v>9</v>
      </c>
      <c r="T5" s="16" t="s">
        <v>17</v>
      </c>
      <c r="U5" s="16" t="s">
        <v>18</v>
      </c>
      <c r="V5" s="16" t="s">
        <v>9</v>
      </c>
      <c r="W5" s="16" t="s">
        <v>19</v>
      </c>
      <c r="X5" s="18" t="s">
        <v>20</v>
      </c>
      <c r="Y5" s="16" t="s">
        <v>318</v>
      </c>
      <c r="Z5" s="20" t="s">
        <v>351</v>
      </c>
      <c r="AA5" s="20" t="s">
        <v>352</v>
      </c>
      <c r="AB5" s="20" t="s">
        <v>353</v>
      </c>
      <c r="AC5" s="22" t="s">
        <v>354</v>
      </c>
      <c r="AD5" s="20" t="s">
        <v>357</v>
      </c>
      <c r="AE5"/>
    </row>
    <row r="6" spans="1:31" x14ac:dyDescent="0.45">
      <c r="A6" s="8">
        <v>330026</v>
      </c>
      <c r="B6" s="4" t="s">
        <v>75</v>
      </c>
      <c r="C6" s="4" t="s">
        <v>328</v>
      </c>
      <c r="D6" s="4" t="s">
        <v>329</v>
      </c>
      <c r="E6" s="4" t="str">
        <f>VLOOKUP(A6,[1]GSP!$B:$G,6,FALSE)</f>
        <v>กช.บรก.</v>
      </c>
      <c r="F6" s="4" t="s">
        <v>39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4" t="s">
        <v>345</v>
      </c>
      <c r="Y6" s="10" t="str">
        <f>VLOOKUP(A6,[2]CVD!$A:$W,23,FALSE)</f>
        <v>ความเสี่ยงปานกลาง</v>
      </c>
      <c r="Z6" s="23" t="s">
        <v>355</v>
      </c>
      <c r="AA6" s="23" t="s">
        <v>356</v>
      </c>
      <c r="AB6" s="23" t="s">
        <v>356</v>
      </c>
      <c r="AC6" s="23" t="s">
        <v>355</v>
      </c>
      <c r="AD6" s="27">
        <v>1</v>
      </c>
    </row>
    <row r="7" spans="1:31" x14ac:dyDescent="0.45">
      <c r="A7" s="8">
        <v>330076</v>
      </c>
      <c r="B7" s="4" t="s">
        <v>21</v>
      </c>
      <c r="C7" s="4" t="s">
        <v>124</v>
      </c>
      <c r="D7" s="4" t="s">
        <v>125</v>
      </c>
      <c r="E7" s="4" t="str">
        <f>VLOOKUP(A7,[1]GSP!$B:$G,6,FALSE)</f>
        <v>บค.วบก.</v>
      </c>
      <c r="F7" s="4" t="s">
        <v>25</v>
      </c>
      <c r="G7" s="5">
        <v>99</v>
      </c>
      <c r="H7" s="6" t="s">
        <v>9</v>
      </c>
      <c r="I7" s="6">
        <v>1</v>
      </c>
      <c r="J7" s="5">
        <v>141</v>
      </c>
      <c r="K7" s="5">
        <v>85</v>
      </c>
      <c r="L7" s="6" t="s">
        <v>26</v>
      </c>
      <c r="M7" s="6">
        <v>1</v>
      </c>
      <c r="N7" s="5">
        <v>108</v>
      </c>
      <c r="O7" s="4" t="s">
        <v>74</v>
      </c>
      <c r="P7" s="4"/>
      <c r="Q7" s="5">
        <v>60</v>
      </c>
      <c r="R7" s="4" t="s">
        <v>82</v>
      </c>
      <c r="S7" s="4"/>
      <c r="T7" s="5">
        <v>130</v>
      </c>
      <c r="U7" s="6" t="s">
        <v>58</v>
      </c>
      <c r="V7" s="6">
        <v>1</v>
      </c>
      <c r="W7" s="4">
        <v>3</v>
      </c>
      <c r="X7" s="13" t="s">
        <v>65</v>
      </c>
      <c r="Y7" s="6" t="str">
        <f>VLOOKUP(A7,[2]CVD!$A:$W,23,FALSE)</f>
        <v>ความเสี่ยงสูง</v>
      </c>
      <c r="Z7" s="23" t="s">
        <v>355</v>
      </c>
      <c r="AA7" s="23" t="s">
        <v>356</v>
      </c>
      <c r="AB7" s="24" t="s">
        <v>358</v>
      </c>
      <c r="AC7" s="25" t="s">
        <v>359</v>
      </c>
      <c r="AD7" s="27">
        <v>0.5</v>
      </c>
    </row>
    <row r="8" spans="1:31" x14ac:dyDescent="0.45">
      <c r="A8" s="8">
        <v>330077</v>
      </c>
      <c r="B8" s="4" t="s">
        <v>21</v>
      </c>
      <c r="C8" s="4" t="s">
        <v>321</v>
      </c>
      <c r="D8" s="4" t="s">
        <v>324</v>
      </c>
      <c r="E8" s="4" t="str">
        <f>VLOOKUP(A8,[1]GSP!$B:$G,6,FALSE)</f>
        <v>ยรก.</v>
      </c>
      <c r="F8" s="4" t="s">
        <v>34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4" t="s">
        <v>345</v>
      </c>
      <c r="Y8" s="10" t="str">
        <f>VLOOKUP(A8,[2]CVD!$A:$W,23,FALSE)</f>
        <v>ความเสี่ยงปานกลาง</v>
      </c>
      <c r="Z8" s="24" t="s">
        <v>359</v>
      </c>
      <c r="AA8" s="24" t="s">
        <v>358</v>
      </c>
      <c r="AB8" s="24" t="s">
        <v>358</v>
      </c>
      <c r="AC8" s="25" t="s">
        <v>359</v>
      </c>
      <c r="AD8" s="27">
        <v>0</v>
      </c>
    </row>
    <row r="9" spans="1:31" x14ac:dyDescent="0.45">
      <c r="A9" s="8">
        <v>340007</v>
      </c>
      <c r="B9" s="4" t="s">
        <v>21</v>
      </c>
      <c r="C9" s="4" t="s">
        <v>312</v>
      </c>
      <c r="D9" s="4" t="s">
        <v>313</v>
      </c>
      <c r="E9" s="4" t="str">
        <f>VLOOKUP(A9,[1]GSP!$B:$G,6,FALSE)</f>
        <v>สยก.</v>
      </c>
      <c r="F9" s="4" t="s">
        <v>34</v>
      </c>
      <c r="G9" s="5">
        <v>82</v>
      </c>
      <c r="H9" s="4" t="s">
        <v>171</v>
      </c>
      <c r="I9" s="4"/>
      <c r="J9" s="5">
        <v>131</v>
      </c>
      <c r="K9" s="5">
        <v>86</v>
      </c>
      <c r="L9" s="6" t="s">
        <v>35</v>
      </c>
      <c r="M9" s="6">
        <v>1</v>
      </c>
      <c r="N9" s="5">
        <v>162</v>
      </c>
      <c r="O9" s="6" t="s">
        <v>27</v>
      </c>
      <c r="P9" s="6">
        <v>1</v>
      </c>
      <c r="Q9" s="5">
        <v>82</v>
      </c>
      <c r="R9" s="4" t="s">
        <v>82</v>
      </c>
      <c r="S9" s="4"/>
      <c r="T9" s="5">
        <v>105</v>
      </c>
      <c r="U9" s="6" t="s">
        <v>29</v>
      </c>
      <c r="V9" s="6">
        <v>1</v>
      </c>
      <c r="W9" s="4">
        <v>3</v>
      </c>
      <c r="X9" s="13" t="s">
        <v>65</v>
      </c>
      <c r="Y9" s="10" t="str">
        <f>VLOOKUP(A9,[2]CVD!$A:$W,23,FALSE)</f>
        <v>ความเสี่ยงปานกลาง</v>
      </c>
      <c r="Z9" s="23" t="s">
        <v>355</v>
      </c>
      <c r="AA9" s="23" t="s">
        <v>356</v>
      </c>
      <c r="AB9" s="23" t="s">
        <v>356</v>
      </c>
      <c r="AC9" s="25" t="s">
        <v>359</v>
      </c>
      <c r="AD9" s="27">
        <v>0.75</v>
      </c>
    </row>
    <row r="10" spans="1:31" x14ac:dyDescent="0.45">
      <c r="A10" s="8">
        <v>340008</v>
      </c>
      <c r="B10" s="4" t="s">
        <v>21</v>
      </c>
      <c r="C10" s="4" t="s">
        <v>330</v>
      </c>
      <c r="D10" s="4" t="s">
        <v>331</v>
      </c>
      <c r="E10" s="4" t="str">
        <f>VLOOKUP(A10,[1]GSP!$B:$G,6,FALSE)</f>
        <v>คผ.D ปล.</v>
      </c>
      <c r="F10" s="4" t="s">
        <v>34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4" t="s">
        <v>345</v>
      </c>
      <c r="Y10" s="10" t="str">
        <f>VLOOKUP(A10,[2]CVD!$A:$W,23,FALSE)</f>
        <v>ความเสี่ยงปานกลาง</v>
      </c>
      <c r="Z10" s="24" t="s">
        <v>359</v>
      </c>
      <c r="AA10" s="24" t="s">
        <v>358</v>
      </c>
      <c r="AB10" s="24" t="s">
        <v>358</v>
      </c>
      <c r="AC10" s="25" t="s">
        <v>359</v>
      </c>
      <c r="AD10" s="27">
        <v>0</v>
      </c>
    </row>
    <row r="11" spans="1:31" x14ac:dyDescent="0.45">
      <c r="A11" s="8">
        <v>340011</v>
      </c>
      <c r="B11" s="4" t="s">
        <v>21</v>
      </c>
      <c r="C11" s="4" t="s">
        <v>79</v>
      </c>
      <c r="D11" s="4" t="s">
        <v>80</v>
      </c>
      <c r="E11" s="4" t="str">
        <f>VLOOKUP(A11,[1]GSP!$B:$G,6,FALSE)</f>
        <v>คผ.D ปล.</v>
      </c>
      <c r="F11" s="4" t="s">
        <v>34</v>
      </c>
      <c r="G11" s="5">
        <v>91</v>
      </c>
      <c r="H11" s="6" t="s">
        <v>9</v>
      </c>
      <c r="I11" s="6">
        <v>1</v>
      </c>
      <c r="J11" s="5">
        <v>135</v>
      </c>
      <c r="K11" s="5">
        <v>88</v>
      </c>
      <c r="L11" s="6" t="s">
        <v>35</v>
      </c>
      <c r="M11" s="6">
        <v>1</v>
      </c>
      <c r="N11" s="5">
        <v>219</v>
      </c>
      <c r="O11" s="6" t="s">
        <v>43</v>
      </c>
      <c r="P11" s="6">
        <v>1</v>
      </c>
      <c r="Q11" s="5">
        <v>84</v>
      </c>
      <c r="R11" s="4" t="s">
        <v>82</v>
      </c>
      <c r="S11" s="4"/>
      <c r="T11" s="5">
        <v>95</v>
      </c>
      <c r="U11" s="4" t="s">
        <v>64</v>
      </c>
      <c r="V11" s="4"/>
      <c r="W11" s="4">
        <v>3</v>
      </c>
      <c r="X11" s="13" t="s">
        <v>65</v>
      </c>
      <c r="Y11" s="10" t="str">
        <f>VLOOKUP(A11,[2]CVD!$A:$W,23,FALSE)</f>
        <v>ความเสี่ยงปานกลาง</v>
      </c>
      <c r="Z11" s="23" t="s">
        <v>355</v>
      </c>
      <c r="AA11" s="23" t="s">
        <v>356</v>
      </c>
      <c r="AB11" s="23" t="s">
        <v>356</v>
      </c>
      <c r="AC11" s="23" t="s">
        <v>355</v>
      </c>
      <c r="AD11" s="27">
        <v>1</v>
      </c>
    </row>
    <row r="12" spans="1:31" x14ac:dyDescent="0.45">
      <c r="A12" s="8">
        <v>340016</v>
      </c>
      <c r="B12" s="4" t="s">
        <v>21</v>
      </c>
      <c r="C12" s="4" t="s">
        <v>319</v>
      </c>
      <c r="D12" s="4" t="s">
        <v>320</v>
      </c>
      <c r="E12" s="4" t="str">
        <f>VLOOKUP(A12,[1]GSP!$B:$G,6,FALSE)</f>
        <v>บค.วบก.</v>
      </c>
      <c r="F12" s="4" t="s">
        <v>25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4" t="s">
        <v>345</v>
      </c>
      <c r="Y12" s="6" t="str">
        <f>VLOOKUP(A12,[2]CVD!$A:$W,23,FALSE)</f>
        <v>ความเสี่ยงสูง</v>
      </c>
      <c r="Z12" s="23" t="s">
        <v>355</v>
      </c>
      <c r="AA12" s="23" t="s">
        <v>356</v>
      </c>
      <c r="AB12" s="24" t="s">
        <v>358</v>
      </c>
      <c r="AC12" s="25" t="s">
        <v>359</v>
      </c>
      <c r="AD12" s="27">
        <v>0.5</v>
      </c>
    </row>
    <row r="13" spans="1:31" x14ac:dyDescent="0.45">
      <c r="A13" s="8">
        <v>340019</v>
      </c>
      <c r="B13" s="4" t="s">
        <v>21</v>
      </c>
      <c r="C13" s="4" t="s">
        <v>334</v>
      </c>
      <c r="D13" s="4" t="s">
        <v>335</v>
      </c>
      <c r="E13" s="4" t="str">
        <f>VLOOKUP(A13,[1]GSP!$B:$G,6,FALSE)</f>
        <v>บฟ.วบก.</v>
      </c>
      <c r="F13" s="4" t="s">
        <v>25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4" t="s">
        <v>345</v>
      </c>
      <c r="Y13" s="10" t="str">
        <f>VLOOKUP(A13,[2]CVD!$A:$W,23,FALSE)</f>
        <v>ความเสี่ยงปานกลาง</v>
      </c>
      <c r="Z13" s="23" t="s">
        <v>355</v>
      </c>
      <c r="AA13" s="23" t="s">
        <v>356</v>
      </c>
      <c r="AB13" s="23" t="s">
        <v>356</v>
      </c>
      <c r="AC13" s="25" t="s">
        <v>359</v>
      </c>
      <c r="AD13" s="27">
        <v>0.75</v>
      </c>
    </row>
    <row r="14" spans="1:31" x14ac:dyDescent="0.45">
      <c r="A14" s="8">
        <v>340095</v>
      </c>
      <c r="B14" s="4" t="s">
        <v>21</v>
      </c>
      <c r="C14" s="4" t="s">
        <v>160</v>
      </c>
      <c r="D14" s="4" t="s">
        <v>161</v>
      </c>
      <c r="E14" s="4" t="str">
        <f>VLOOKUP(A14,[1]GSP!$B:$G,6,FALSE)</f>
        <v>ผ.ปก.D ปก.</v>
      </c>
      <c r="F14" s="4" t="s">
        <v>34</v>
      </c>
      <c r="G14" s="5">
        <v>101</v>
      </c>
      <c r="H14" s="6" t="s">
        <v>9</v>
      </c>
      <c r="I14" s="6">
        <v>1</v>
      </c>
      <c r="J14" s="5">
        <v>167</v>
      </c>
      <c r="K14" s="5">
        <v>105</v>
      </c>
      <c r="L14" s="6" t="s">
        <v>47</v>
      </c>
      <c r="M14" s="6">
        <v>1</v>
      </c>
      <c r="N14" s="5">
        <v>242</v>
      </c>
      <c r="O14" s="6" t="s">
        <v>43</v>
      </c>
      <c r="P14" s="6">
        <v>1</v>
      </c>
      <c r="Q14" s="5">
        <v>48</v>
      </c>
      <c r="R14" s="4" t="s">
        <v>74</v>
      </c>
      <c r="S14" s="4"/>
      <c r="T14" s="5">
        <v>110</v>
      </c>
      <c r="U14" s="6" t="s">
        <v>29</v>
      </c>
      <c r="V14" s="6">
        <v>1</v>
      </c>
      <c r="W14" s="4">
        <v>4</v>
      </c>
      <c r="X14" s="13" t="s">
        <v>65</v>
      </c>
      <c r="Y14" s="6" t="str">
        <f>VLOOKUP(A14,[2]CVD!$A:$W,23,FALSE)</f>
        <v>ความเสี่ยงสูง</v>
      </c>
      <c r="Z14" s="23" t="s">
        <v>355</v>
      </c>
      <c r="AA14" s="23" t="s">
        <v>356</v>
      </c>
      <c r="AB14" s="23" t="s">
        <v>356</v>
      </c>
      <c r="AC14" s="23" t="s">
        <v>355</v>
      </c>
      <c r="AD14" s="27">
        <v>1</v>
      </c>
    </row>
    <row r="15" spans="1:31" x14ac:dyDescent="0.45">
      <c r="A15" s="8">
        <v>340098</v>
      </c>
      <c r="B15" s="4" t="s">
        <v>21</v>
      </c>
      <c r="C15" s="4" t="s">
        <v>336</v>
      </c>
      <c r="D15" s="4" t="s">
        <v>337</v>
      </c>
      <c r="E15" s="4" t="str">
        <f>VLOOKUP(A15,[1]GSP!$B:$G,6,FALSE)</f>
        <v>ปต.ยยก.</v>
      </c>
      <c r="F15" s="4" t="s">
        <v>34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4" t="s">
        <v>345</v>
      </c>
      <c r="Y15" s="10" t="str">
        <f>VLOOKUP(A15,[2]CVD!$A:$W,23,FALSE)</f>
        <v>ความเสี่ยงปานกลาง</v>
      </c>
      <c r="Z15" s="24" t="s">
        <v>359</v>
      </c>
      <c r="AA15" s="23" t="s">
        <v>356</v>
      </c>
      <c r="AB15" s="23" t="s">
        <v>356</v>
      </c>
      <c r="AC15" s="23" t="s">
        <v>355</v>
      </c>
      <c r="AD15" s="27">
        <v>0.75</v>
      </c>
    </row>
    <row r="16" spans="1:31" x14ac:dyDescent="0.45">
      <c r="A16" s="8">
        <v>340106</v>
      </c>
      <c r="B16" s="4" t="s">
        <v>21</v>
      </c>
      <c r="C16" s="4" t="s">
        <v>339</v>
      </c>
      <c r="D16" s="4" t="s">
        <v>340</v>
      </c>
      <c r="E16" s="4" t="str">
        <f>VLOOKUP(A16,[1]GSP!$B:$G,6,FALSE)</f>
        <v>บง.วบก.</v>
      </c>
      <c r="F16" s="4" t="s">
        <v>25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4" t="s">
        <v>345</v>
      </c>
      <c r="Y16" s="10" t="str">
        <f>VLOOKUP(A16,[2]CVD!$A:$W,23,FALSE)</f>
        <v>ความเสี่ยงปานกลาง</v>
      </c>
      <c r="Z16" s="24" t="s">
        <v>359</v>
      </c>
      <c r="AA16" s="24" t="s">
        <v>358</v>
      </c>
      <c r="AB16" s="24" t="s">
        <v>358</v>
      </c>
      <c r="AC16" s="25" t="s">
        <v>359</v>
      </c>
      <c r="AD16" s="27">
        <v>0</v>
      </c>
    </row>
    <row r="17" spans="1:30" x14ac:dyDescent="0.45">
      <c r="A17" s="8">
        <v>340107</v>
      </c>
      <c r="B17" s="4" t="s">
        <v>21</v>
      </c>
      <c r="C17" s="4" t="s">
        <v>343</v>
      </c>
      <c r="D17" s="4" t="s">
        <v>344</v>
      </c>
      <c r="E17" s="4" t="str">
        <f>VLOOKUP(A17,[1]GSP!$B:$G,6,FALSE)</f>
        <v>ผ.ปก.D ปก.</v>
      </c>
      <c r="F17" s="4" t="s">
        <v>34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4" t="s">
        <v>345</v>
      </c>
      <c r="Y17" s="10" t="str">
        <f>VLOOKUP(A17,[2]CVD!$A:$W,23,FALSE)</f>
        <v>ความเสี่ยงปานกลาง</v>
      </c>
      <c r="Z17" s="24" t="s">
        <v>359</v>
      </c>
      <c r="AA17" s="24" t="s">
        <v>358</v>
      </c>
      <c r="AB17" s="24" t="s">
        <v>358</v>
      </c>
      <c r="AC17" s="25" t="s">
        <v>359</v>
      </c>
      <c r="AD17" s="27">
        <v>0</v>
      </c>
    </row>
    <row r="18" spans="1:30" x14ac:dyDescent="0.45">
      <c r="A18" s="8">
        <v>340108</v>
      </c>
      <c r="B18" s="4" t="s">
        <v>21</v>
      </c>
      <c r="C18" s="4" t="s">
        <v>321</v>
      </c>
      <c r="D18" s="4" t="s">
        <v>322</v>
      </c>
      <c r="E18" s="4" t="str">
        <f>VLOOKUP(A18,[1]GSP!$B:$G,6,FALSE)</f>
        <v>ปล.ยยก.</v>
      </c>
      <c r="F18" s="4" t="s">
        <v>34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4" t="s">
        <v>345</v>
      </c>
      <c r="Y18" s="10" t="str">
        <f>VLOOKUP(A18,[2]CVD!$A:$W,23,FALSE)</f>
        <v>ความเสี่ยงปานกลาง</v>
      </c>
      <c r="Z18" s="23" t="s">
        <v>355</v>
      </c>
      <c r="AA18" s="23" t="s">
        <v>356</v>
      </c>
      <c r="AB18" s="23" t="s">
        <v>356</v>
      </c>
      <c r="AC18" s="23" t="s">
        <v>355</v>
      </c>
      <c r="AD18" s="27">
        <v>1</v>
      </c>
    </row>
    <row r="19" spans="1:30" x14ac:dyDescent="0.45">
      <c r="A19" s="8">
        <v>340109</v>
      </c>
      <c r="B19" s="4" t="s">
        <v>21</v>
      </c>
      <c r="C19" s="4" t="s">
        <v>274</v>
      </c>
      <c r="D19" s="4" t="s">
        <v>275</v>
      </c>
      <c r="E19" s="4" t="str">
        <f>VLOOKUP(A19,[1]GSP!$B:$G,6,FALSE)</f>
        <v>คผ.C ปต.</v>
      </c>
      <c r="F19" s="4" t="s">
        <v>34</v>
      </c>
      <c r="G19" s="5">
        <v>89</v>
      </c>
      <c r="H19" s="4" t="s">
        <v>171</v>
      </c>
      <c r="I19" s="4"/>
      <c r="J19" s="5">
        <v>132</v>
      </c>
      <c r="K19" s="5">
        <v>72</v>
      </c>
      <c r="L19" s="6" t="s">
        <v>35</v>
      </c>
      <c r="M19" s="6">
        <v>1</v>
      </c>
      <c r="N19" s="5">
        <v>86</v>
      </c>
      <c r="O19" s="4" t="s">
        <v>74</v>
      </c>
      <c r="P19" s="4"/>
      <c r="Q19" s="5">
        <v>38</v>
      </c>
      <c r="R19" s="6" t="s">
        <v>28</v>
      </c>
      <c r="S19" s="6">
        <v>1</v>
      </c>
      <c r="T19" s="5">
        <v>179</v>
      </c>
      <c r="U19" s="6" t="s">
        <v>58</v>
      </c>
      <c r="V19" s="6">
        <v>1</v>
      </c>
      <c r="W19" s="4">
        <v>3</v>
      </c>
      <c r="X19" s="13" t="s">
        <v>65</v>
      </c>
      <c r="Y19" s="10" t="str">
        <f>VLOOKUP(A19,[2]CVD!$A:$W,23,FALSE)</f>
        <v>ความเสี่ยงปานกลาง</v>
      </c>
      <c r="Z19" s="23" t="s">
        <v>355</v>
      </c>
      <c r="AA19" s="23" t="s">
        <v>356</v>
      </c>
      <c r="AB19" s="24" t="s">
        <v>358</v>
      </c>
      <c r="AC19" s="23" t="s">
        <v>355</v>
      </c>
      <c r="AD19" s="27">
        <v>0.75</v>
      </c>
    </row>
    <row r="20" spans="1:30" x14ac:dyDescent="0.45">
      <c r="A20" s="8">
        <v>340118</v>
      </c>
      <c r="B20" s="4" t="s">
        <v>21</v>
      </c>
      <c r="C20" s="4" t="s">
        <v>341</v>
      </c>
      <c r="D20" s="4" t="s">
        <v>342</v>
      </c>
      <c r="E20" s="4" t="str">
        <f>VLOOKUP(A20,[1]GSP!$B:$G,6,FALSE)</f>
        <v>วก.วบก.</v>
      </c>
      <c r="F20" s="4" t="s">
        <v>25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4" t="s">
        <v>345</v>
      </c>
      <c r="Y20" s="10" t="str">
        <f>VLOOKUP(A20,[2]CVD!$A:$W,23,FALSE)</f>
        <v>ความเสี่ยงปานกลาง</v>
      </c>
      <c r="Z20" s="23" t="s">
        <v>355</v>
      </c>
      <c r="AA20" s="24" t="s">
        <v>358</v>
      </c>
      <c r="AB20" s="24" t="s">
        <v>358</v>
      </c>
      <c r="AC20" s="25" t="s">
        <v>359</v>
      </c>
      <c r="AD20" s="27">
        <v>0.25</v>
      </c>
    </row>
    <row r="21" spans="1:30" x14ac:dyDescent="0.45">
      <c r="A21" s="8">
        <v>340145</v>
      </c>
      <c r="B21" s="4" t="s">
        <v>21</v>
      </c>
      <c r="C21" s="4" t="s">
        <v>257</v>
      </c>
      <c r="D21" s="4" t="s">
        <v>258</v>
      </c>
      <c r="E21" s="4" t="str">
        <f>VLOOKUP(A21,[1]GSP!$B:$G,6,FALSE)</f>
        <v>บง.วบก.</v>
      </c>
      <c r="F21" s="4" t="s">
        <v>25</v>
      </c>
      <c r="G21" s="5">
        <v>95</v>
      </c>
      <c r="H21" s="6" t="s">
        <v>9</v>
      </c>
      <c r="I21" s="6">
        <v>1</v>
      </c>
      <c r="J21" s="5">
        <v>136</v>
      </c>
      <c r="K21" s="5">
        <v>72</v>
      </c>
      <c r="L21" s="6" t="s">
        <v>35</v>
      </c>
      <c r="M21" s="6">
        <v>1</v>
      </c>
      <c r="N21" s="5">
        <v>306</v>
      </c>
      <c r="O21" s="6" t="s">
        <v>43</v>
      </c>
      <c r="P21" s="6">
        <v>1</v>
      </c>
      <c r="Q21" s="5">
        <v>48</v>
      </c>
      <c r="R21" s="4" t="s">
        <v>74</v>
      </c>
      <c r="S21" s="4"/>
      <c r="T21" s="5">
        <v>98</v>
      </c>
      <c r="U21" s="4" t="s">
        <v>64</v>
      </c>
      <c r="V21" s="4"/>
      <c r="W21" s="4">
        <v>3</v>
      </c>
      <c r="X21" s="13" t="s">
        <v>65</v>
      </c>
      <c r="Y21" s="10" t="str">
        <f>VLOOKUP(A21,[2]CVD!$A:$W,23,FALSE)</f>
        <v>ความเสี่ยงปานกลาง</v>
      </c>
      <c r="Z21" s="24" t="s">
        <v>359</v>
      </c>
      <c r="AA21" s="24" t="s">
        <v>358</v>
      </c>
      <c r="AB21" s="24" t="s">
        <v>358</v>
      </c>
      <c r="AC21" s="25" t="s">
        <v>359</v>
      </c>
      <c r="AD21" s="27">
        <v>0</v>
      </c>
    </row>
    <row r="22" spans="1:30" x14ac:dyDescent="0.45">
      <c r="A22" s="8">
        <v>350064</v>
      </c>
      <c r="B22" s="4" t="s">
        <v>21</v>
      </c>
      <c r="C22" s="4" t="s">
        <v>190</v>
      </c>
      <c r="D22" s="4" t="s">
        <v>191</v>
      </c>
      <c r="E22" s="4" t="str">
        <f>VLOOKUP(A22,[1]GSP!$B:$G,6,FALSE)</f>
        <v>คผฺ.B ปจ.</v>
      </c>
      <c r="F22" s="4" t="s">
        <v>34</v>
      </c>
      <c r="G22" s="5">
        <v>100</v>
      </c>
      <c r="H22" s="6" t="s">
        <v>9</v>
      </c>
      <c r="I22" s="6">
        <v>1</v>
      </c>
      <c r="J22" s="5">
        <v>133</v>
      </c>
      <c r="K22" s="5">
        <v>78</v>
      </c>
      <c r="L22" s="6" t="s">
        <v>35</v>
      </c>
      <c r="M22" s="6">
        <v>1</v>
      </c>
      <c r="N22" s="5">
        <v>84</v>
      </c>
      <c r="O22" s="4" t="s">
        <v>74</v>
      </c>
      <c r="P22" s="4"/>
      <c r="Q22" s="5">
        <v>52</v>
      </c>
      <c r="R22" s="4" t="s">
        <v>74</v>
      </c>
      <c r="S22" s="4"/>
      <c r="T22" s="5">
        <v>111</v>
      </c>
      <c r="U22" s="6" t="s">
        <v>29</v>
      </c>
      <c r="V22" s="6">
        <v>1</v>
      </c>
      <c r="W22" s="4">
        <v>3</v>
      </c>
      <c r="X22" s="13" t="s">
        <v>65</v>
      </c>
      <c r="Y22" s="10" t="str">
        <f>VLOOKUP(A22,[2]CVD!$A:$W,23,FALSE)</f>
        <v>ความเสี่ยงปานกลาง</v>
      </c>
      <c r="Z22" s="24" t="s">
        <v>359</v>
      </c>
      <c r="AA22" s="24" t="s">
        <v>358</v>
      </c>
      <c r="AB22" s="24" t="s">
        <v>358</v>
      </c>
      <c r="AC22" s="23" t="s">
        <v>355</v>
      </c>
      <c r="AD22" s="27">
        <v>0.25</v>
      </c>
    </row>
    <row r="23" spans="1:30" x14ac:dyDescent="0.45">
      <c r="A23" s="8">
        <v>350076</v>
      </c>
      <c r="B23" s="4" t="s">
        <v>21</v>
      </c>
      <c r="C23" s="4" t="s">
        <v>325</v>
      </c>
      <c r="D23" s="4" t="s">
        <v>326</v>
      </c>
      <c r="E23" s="4" t="str">
        <f>VLOOKUP(A23,[1]GSP!$B:$G,6,FALSE)</f>
        <v>ผ.คผ.B ปผ.</v>
      </c>
      <c r="F23" s="4" t="s">
        <v>34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4" t="s">
        <v>345</v>
      </c>
      <c r="Y23" s="10" t="str">
        <f>VLOOKUP(A23,[2]CVD!$A:$W,23,FALSE)</f>
        <v>ความเสี่ยงปานกลาง</v>
      </c>
      <c r="Z23" s="24" t="s">
        <v>359</v>
      </c>
      <c r="AA23" s="24" t="s">
        <v>358</v>
      </c>
      <c r="AB23" s="24" t="s">
        <v>358</v>
      </c>
      <c r="AC23" s="23" t="s">
        <v>355</v>
      </c>
      <c r="AD23" s="27">
        <v>0.25</v>
      </c>
    </row>
    <row r="24" spans="1:30" x14ac:dyDescent="0.45">
      <c r="A24" s="8">
        <v>360071</v>
      </c>
      <c r="B24" s="4" t="s">
        <v>21</v>
      </c>
      <c r="C24" s="4" t="s">
        <v>293</v>
      </c>
      <c r="D24" s="4" t="s">
        <v>294</v>
      </c>
      <c r="E24" s="4" t="str">
        <f>VLOOKUP(A24,[1]GSP!$B:$G,6,FALSE)</f>
        <v>ผ.คผ.C ปผ.</v>
      </c>
      <c r="F24" s="4" t="s">
        <v>34</v>
      </c>
      <c r="G24" s="5">
        <v>94</v>
      </c>
      <c r="H24" s="6" t="s">
        <v>9</v>
      </c>
      <c r="I24" s="6">
        <v>1</v>
      </c>
      <c r="J24" s="5">
        <v>142</v>
      </c>
      <c r="K24" s="5">
        <v>96</v>
      </c>
      <c r="L24" s="6" t="s">
        <v>26</v>
      </c>
      <c r="M24" s="6">
        <v>1</v>
      </c>
      <c r="N24" s="5">
        <v>277</v>
      </c>
      <c r="O24" s="6" t="s">
        <v>43</v>
      </c>
      <c r="P24" s="6">
        <v>1</v>
      </c>
      <c r="Q24" s="5">
        <v>74</v>
      </c>
      <c r="R24" s="4" t="s">
        <v>82</v>
      </c>
      <c r="S24" s="4"/>
      <c r="T24" s="5">
        <v>102</v>
      </c>
      <c r="U24" s="6" t="s">
        <v>29</v>
      </c>
      <c r="V24" s="6">
        <v>1</v>
      </c>
      <c r="W24" s="4">
        <v>4</v>
      </c>
      <c r="X24" s="13" t="s">
        <v>65</v>
      </c>
      <c r="Y24" s="10" t="str">
        <f>VLOOKUP(A24,[2]CVD!$A:$W,23,FALSE)</f>
        <v>ความเสี่ยงปานกลาง</v>
      </c>
      <c r="Z24" s="24" t="s">
        <v>359</v>
      </c>
      <c r="AA24" s="24" t="s">
        <v>358</v>
      </c>
      <c r="AB24" s="24" t="s">
        <v>358</v>
      </c>
      <c r="AC24" s="25" t="s">
        <v>359</v>
      </c>
      <c r="AD24" s="27">
        <v>0</v>
      </c>
    </row>
    <row r="25" spans="1:30" x14ac:dyDescent="0.45">
      <c r="A25" s="8">
        <v>360075</v>
      </c>
      <c r="B25" s="4" t="s">
        <v>21</v>
      </c>
      <c r="C25" s="4" t="s">
        <v>332</v>
      </c>
      <c r="D25" s="4" t="s">
        <v>333</v>
      </c>
      <c r="E25" s="4" t="str">
        <f>VLOOKUP(A25,[1]GSP!$B:$G,6,FALSE)</f>
        <v>คผ.A ปต.</v>
      </c>
      <c r="F25" s="4" t="s">
        <v>34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4" t="s">
        <v>345</v>
      </c>
      <c r="Y25" s="10" t="str">
        <f>VLOOKUP(A25,[2]CVD!$A:$W,23,FALSE)</f>
        <v>ความเสี่ยงปานกลาง</v>
      </c>
      <c r="Z25" s="24" t="s">
        <v>359</v>
      </c>
      <c r="AA25" s="24" t="s">
        <v>358</v>
      </c>
      <c r="AB25" s="24" t="s">
        <v>358</v>
      </c>
      <c r="AC25" s="25" t="s">
        <v>359</v>
      </c>
      <c r="AD25" s="27">
        <v>0</v>
      </c>
    </row>
    <row r="26" spans="1:30" x14ac:dyDescent="0.45">
      <c r="A26" s="8">
        <v>360094</v>
      </c>
      <c r="B26" s="4" t="s">
        <v>21</v>
      </c>
      <c r="C26" s="4" t="s">
        <v>186</v>
      </c>
      <c r="D26" s="4" t="s">
        <v>187</v>
      </c>
      <c r="E26" s="4" t="str">
        <f>VLOOKUP(A26,[1]GSP!$B:$G,6,FALSE)</f>
        <v>คผฺ.B ปจ.</v>
      </c>
      <c r="F26" s="4" t="s">
        <v>34</v>
      </c>
      <c r="G26" s="5">
        <v>110</v>
      </c>
      <c r="H26" s="6" t="s">
        <v>9</v>
      </c>
      <c r="I26" s="6">
        <v>1</v>
      </c>
      <c r="J26" s="5">
        <v>136</v>
      </c>
      <c r="K26" s="5">
        <v>83</v>
      </c>
      <c r="L26" s="6" t="s">
        <v>35</v>
      </c>
      <c r="M26" s="6">
        <v>1</v>
      </c>
      <c r="N26" s="5">
        <v>84</v>
      </c>
      <c r="O26" s="4" t="s">
        <v>74</v>
      </c>
      <c r="P26" s="4"/>
      <c r="Q26" s="5">
        <v>55</v>
      </c>
      <c r="R26" s="4" t="s">
        <v>74</v>
      </c>
      <c r="S26" s="4"/>
      <c r="T26" s="5">
        <v>103</v>
      </c>
      <c r="U26" s="6" t="s">
        <v>29</v>
      </c>
      <c r="V26" s="6">
        <v>1</v>
      </c>
      <c r="W26" s="4">
        <v>3</v>
      </c>
      <c r="X26" s="13" t="s">
        <v>65</v>
      </c>
      <c r="Y26" s="10" t="str">
        <f>VLOOKUP(A26,[2]CVD!$A:$W,23,FALSE)</f>
        <v>ความเสี่ยงปานกลาง</v>
      </c>
      <c r="Z26" s="23" t="s">
        <v>355</v>
      </c>
      <c r="AA26" s="23" t="s">
        <v>356</v>
      </c>
      <c r="AB26" s="23" t="s">
        <v>356</v>
      </c>
      <c r="AC26" s="23" t="s">
        <v>355</v>
      </c>
      <c r="AD26" s="27">
        <v>1</v>
      </c>
    </row>
    <row r="27" spans="1:30" x14ac:dyDescent="0.45">
      <c r="A27" s="8">
        <v>360098</v>
      </c>
      <c r="B27" s="4" t="s">
        <v>21</v>
      </c>
      <c r="C27" s="4" t="s">
        <v>83</v>
      </c>
      <c r="D27" s="4" t="s">
        <v>84</v>
      </c>
      <c r="E27" s="4" t="str">
        <f>VLOOKUP(A27,[1]GSP!$B:$G,6,FALSE)</f>
        <v>อท.บรก.</v>
      </c>
      <c r="F27" s="4" t="s">
        <v>39</v>
      </c>
      <c r="G27" s="5">
        <v>94</v>
      </c>
      <c r="H27" s="6" t="s">
        <v>9</v>
      </c>
      <c r="I27" s="6">
        <v>1</v>
      </c>
      <c r="J27" s="5">
        <v>136</v>
      </c>
      <c r="K27" s="5">
        <v>81</v>
      </c>
      <c r="L27" s="6" t="s">
        <v>35</v>
      </c>
      <c r="M27" s="6">
        <v>1</v>
      </c>
      <c r="N27" s="5">
        <v>116</v>
      </c>
      <c r="O27" s="4" t="s">
        <v>74</v>
      </c>
      <c r="P27" s="4"/>
      <c r="Q27" s="5">
        <v>42</v>
      </c>
      <c r="R27" s="4" t="s">
        <v>74</v>
      </c>
      <c r="S27" s="4"/>
      <c r="T27" s="5">
        <v>100</v>
      </c>
      <c r="U27" s="6" t="s">
        <v>29</v>
      </c>
      <c r="V27" s="6">
        <v>1</v>
      </c>
      <c r="W27" s="4">
        <v>3</v>
      </c>
      <c r="X27" s="13" t="s">
        <v>65</v>
      </c>
      <c r="Y27" s="15" t="str">
        <f>VLOOKUP(A27,[2]CVD!$A:$W,23,FALSE)</f>
        <v>ความเสี่ยงต่ำ</v>
      </c>
      <c r="Z27" s="23" t="s">
        <v>355</v>
      </c>
      <c r="AA27" s="23" t="s">
        <v>356</v>
      </c>
      <c r="AB27" s="23" t="s">
        <v>356</v>
      </c>
      <c r="AC27" s="23" t="s">
        <v>355</v>
      </c>
      <c r="AD27" s="27">
        <v>1</v>
      </c>
    </row>
    <row r="28" spans="1:30" x14ac:dyDescent="0.45">
      <c r="A28" s="8">
        <v>400211</v>
      </c>
      <c r="B28" s="4" t="s">
        <v>21</v>
      </c>
      <c r="C28" s="4" t="s">
        <v>86</v>
      </c>
      <c r="D28" s="4" t="s">
        <v>87</v>
      </c>
      <c r="E28" s="4" t="str">
        <f>VLOOKUP(A28,[1]GSP!$B:$G,6,FALSE)</f>
        <v>วก.วบก.</v>
      </c>
      <c r="F28" s="4" t="s">
        <v>25</v>
      </c>
      <c r="G28" s="5">
        <v>109</v>
      </c>
      <c r="H28" s="6" t="s">
        <v>9</v>
      </c>
      <c r="I28" s="6">
        <v>1</v>
      </c>
      <c r="J28" s="5">
        <v>147</v>
      </c>
      <c r="K28" s="5">
        <v>82</v>
      </c>
      <c r="L28" s="6" t="s">
        <v>26</v>
      </c>
      <c r="M28" s="6">
        <v>1</v>
      </c>
      <c r="N28" s="5">
        <v>171</v>
      </c>
      <c r="O28" s="6" t="s">
        <v>27</v>
      </c>
      <c r="P28" s="6">
        <v>1</v>
      </c>
      <c r="Q28" s="5">
        <v>44</v>
      </c>
      <c r="R28" s="4" t="s">
        <v>74</v>
      </c>
      <c r="S28" s="4"/>
      <c r="T28" s="5">
        <v>96</v>
      </c>
      <c r="U28" s="4" t="s">
        <v>64</v>
      </c>
      <c r="V28" s="4"/>
      <c r="W28" s="4">
        <v>3</v>
      </c>
      <c r="X28" s="13" t="s">
        <v>65</v>
      </c>
      <c r="Y28" s="15" t="str">
        <f>VLOOKUP(A28,[2]CVD!$A:$W,23,FALSE)</f>
        <v>ความเสี่ยงต่ำ</v>
      </c>
      <c r="Z28" s="24" t="s">
        <v>359</v>
      </c>
      <c r="AA28" s="24" t="s">
        <v>358</v>
      </c>
      <c r="AB28" s="24" t="s">
        <v>358</v>
      </c>
      <c r="AC28" s="23" t="s">
        <v>355</v>
      </c>
      <c r="AD28" s="27">
        <v>0.25</v>
      </c>
    </row>
    <row r="29" spans="1:30" x14ac:dyDescent="0.45">
      <c r="A29" s="8">
        <v>410008</v>
      </c>
      <c r="B29" s="4" t="s">
        <v>21</v>
      </c>
      <c r="C29" s="4" t="s">
        <v>306</v>
      </c>
      <c r="D29" s="4" t="s">
        <v>307</v>
      </c>
      <c r="E29" s="4" t="str">
        <f>VLOOKUP(A29,[1]GSP!$B:$G,6,FALSE)</f>
        <v>บค.วบก.</v>
      </c>
      <c r="F29" s="4" t="s">
        <v>25</v>
      </c>
      <c r="G29" s="5">
        <v>101</v>
      </c>
      <c r="H29" s="6" t="s">
        <v>9</v>
      </c>
      <c r="I29" s="6">
        <v>1</v>
      </c>
      <c r="J29" s="5">
        <v>138</v>
      </c>
      <c r="K29" s="5">
        <v>84</v>
      </c>
      <c r="L29" s="6" t="s">
        <v>35</v>
      </c>
      <c r="M29" s="6">
        <v>1</v>
      </c>
      <c r="N29" s="5">
        <v>305</v>
      </c>
      <c r="O29" s="6" t="s">
        <v>43</v>
      </c>
      <c r="P29" s="6">
        <v>1</v>
      </c>
      <c r="Q29" s="5">
        <v>37</v>
      </c>
      <c r="R29" s="6" t="s">
        <v>28</v>
      </c>
      <c r="S29" s="6">
        <v>1</v>
      </c>
      <c r="T29" s="5">
        <v>88</v>
      </c>
      <c r="U29" s="4" t="s">
        <v>64</v>
      </c>
      <c r="V29" s="4"/>
      <c r="W29" s="4">
        <v>4</v>
      </c>
      <c r="X29" s="13" t="s">
        <v>65</v>
      </c>
      <c r="Y29" s="10" t="str">
        <f>VLOOKUP(A29,[2]CVD!$A:$W,23,FALSE)</f>
        <v>ความเสี่ยงปานกลาง</v>
      </c>
      <c r="Z29" s="23" t="s">
        <v>355</v>
      </c>
      <c r="AA29" s="24" t="s">
        <v>358</v>
      </c>
      <c r="AB29" s="24" t="s">
        <v>358</v>
      </c>
      <c r="AC29" s="25" t="s">
        <v>359</v>
      </c>
      <c r="AD29" s="27">
        <v>0.25</v>
      </c>
    </row>
    <row r="30" spans="1:30" x14ac:dyDescent="0.45">
      <c r="A30" s="8">
        <v>410054</v>
      </c>
      <c r="B30" s="4" t="s">
        <v>21</v>
      </c>
      <c r="C30" s="4" t="s">
        <v>269</v>
      </c>
      <c r="D30" s="4" t="s">
        <v>327</v>
      </c>
      <c r="E30" s="4" t="str">
        <f>VLOOKUP(A30,[1]GSP!$B:$G,6,FALSE)</f>
        <v>ปภ.ผยก.</v>
      </c>
      <c r="F30" s="4" t="s">
        <v>39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4" t="s">
        <v>345</v>
      </c>
      <c r="Y30" s="10" t="str">
        <f>VLOOKUP(A30,[2]CVD!$A:$W,23,FALSE)</f>
        <v>ความเสี่ยงปานกลาง</v>
      </c>
      <c r="Z30" s="23" t="s">
        <v>355</v>
      </c>
      <c r="AA30" s="23" t="s">
        <v>356</v>
      </c>
      <c r="AB30" s="23" t="s">
        <v>356</v>
      </c>
      <c r="AC30" s="23" t="s">
        <v>355</v>
      </c>
      <c r="AD30" s="27">
        <v>1</v>
      </c>
    </row>
    <row r="31" spans="1:30" x14ac:dyDescent="0.45">
      <c r="A31" s="8">
        <v>410056</v>
      </c>
      <c r="B31" s="4" t="s">
        <v>21</v>
      </c>
      <c r="C31" s="4" t="s">
        <v>215</v>
      </c>
      <c r="D31" s="4" t="s">
        <v>216</v>
      </c>
      <c r="E31" s="4" t="str">
        <f>VLOOKUP(A31,[1]GSP!$B:$G,6,FALSE)</f>
        <v>คผ.A ปจ.</v>
      </c>
      <c r="F31" s="4" t="s">
        <v>34</v>
      </c>
      <c r="G31" s="5">
        <v>93</v>
      </c>
      <c r="H31" s="6" t="s">
        <v>9</v>
      </c>
      <c r="I31" s="6">
        <v>1</v>
      </c>
      <c r="J31" s="5">
        <v>130</v>
      </c>
      <c r="K31" s="5">
        <v>86</v>
      </c>
      <c r="L31" s="6" t="s">
        <v>35</v>
      </c>
      <c r="M31" s="6">
        <v>1</v>
      </c>
      <c r="N31" s="5">
        <v>246</v>
      </c>
      <c r="O31" s="6" t="s">
        <v>43</v>
      </c>
      <c r="P31" s="6">
        <v>1</v>
      </c>
      <c r="Q31" s="5">
        <v>46</v>
      </c>
      <c r="R31" s="4" t="s">
        <v>74</v>
      </c>
      <c r="S31" s="4"/>
      <c r="T31" s="5">
        <v>143</v>
      </c>
      <c r="U31" s="6" t="s">
        <v>58</v>
      </c>
      <c r="V31" s="6">
        <v>1</v>
      </c>
      <c r="W31" s="4">
        <v>4</v>
      </c>
      <c r="X31" s="13" t="s">
        <v>65</v>
      </c>
      <c r="Y31" s="10" t="str">
        <f>VLOOKUP(A31,[2]CVD!$A:$W,23,FALSE)</f>
        <v>ความเสี่ยงปานกลาง</v>
      </c>
      <c r="Z31" s="24" t="s">
        <v>359</v>
      </c>
      <c r="AA31" s="23" t="s">
        <v>356</v>
      </c>
      <c r="AB31" s="23" t="s">
        <v>356</v>
      </c>
      <c r="AC31" s="25" t="s">
        <v>359</v>
      </c>
      <c r="AD31" s="27">
        <v>0.5</v>
      </c>
    </row>
    <row r="32" spans="1:30" x14ac:dyDescent="0.45">
      <c r="A32" s="8">
        <v>420019</v>
      </c>
      <c r="B32" s="4" t="s">
        <v>21</v>
      </c>
      <c r="C32" s="4" t="s">
        <v>221</v>
      </c>
      <c r="D32" s="4" t="s">
        <v>222</v>
      </c>
      <c r="E32" s="4" t="str">
        <f>VLOOKUP(A32,[1]GSP!$B:$G,6,FALSE)</f>
        <v>กผ.ทผก.</v>
      </c>
      <c r="F32" s="4" t="s">
        <v>39</v>
      </c>
      <c r="G32" s="5">
        <v>82</v>
      </c>
      <c r="H32" s="4" t="s">
        <v>171</v>
      </c>
      <c r="I32" s="4"/>
      <c r="J32" s="5">
        <v>139</v>
      </c>
      <c r="K32" s="5">
        <v>79</v>
      </c>
      <c r="L32" s="6" t="s">
        <v>35</v>
      </c>
      <c r="M32" s="6">
        <v>1</v>
      </c>
      <c r="N32" s="5">
        <v>183</v>
      </c>
      <c r="O32" s="6" t="s">
        <v>27</v>
      </c>
      <c r="P32" s="6">
        <v>1</v>
      </c>
      <c r="Q32" s="5">
        <v>54</v>
      </c>
      <c r="R32" s="4" t="s">
        <v>74</v>
      </c>
      <c r="S32" s="4"/>
      <c r="T32" s="5">
        <v>150</v>
      </c>
      <c r="U32" s="6" t="s">
        <v>58</v>
      </c>
      <c r="V32" s="6">
        <v>1</v>
      </c>
      <c r="W32" s="4">
        <v>3</v>
      </c>
      <c r="X32" s="13" t="s">
        <v>65</v>
      </c>
      <c r="Y32" s="10" t="str">
        <f>VLOOKUP(A32,[2]CVD!$A:$W,23,FALSE)</f>
        <v>ความเสี่ยงปานกลาง</v>
      </c>
      <c r="Z32" s="24" t="s">
        <v>359</v>
      </c>
      <c r="AA32" s="24" t="s">
        <v>358</v>
      </c>
      <c r="AB32" s="24" t="s">
        <v>358</v>
      </c>
      <c r="AC32" s="25" t="s">
        <v>359</v>
      </c>
      <c r="AD32" s="27">
        <v>0</v>
      </c>
    </row>
    <row r="33" spans="1:30" x14ac:dyDescent="0.45">
      <c r="A33" s="8">
        <v>420060</v>
      </c>
      <c r="B33" s="4" t="s">
        <v>21</v>
      </c>
      <c r="C33" s="4" t="s">
        <v>285</v>
      </c>
      <c r="D33" s="4" t="s">
        <v>286</v>
      </c>
      <c r="E33" s="4" t="str">
        <f>VLOOKUP(A33,[1]GSP!$B:$G,6,FALSE)</f>
        <v>บฟ.วบก.</v>
      </c>
      <c r="F33" s="4" t="s">
        <v>25</v>
      </c>
      <c r="G33" s="5">
        <v>100</v>
      </c>
      <c r="H33" s="6" t="s">
        <v>9</v>
      </c>
      <c r="I33" s="6">
        <v>1</v>
      </c>
      <c r="J33" s="5">
        <v>139</v>
      </c>
      <c r="K33" s="5">
        <v>94</v>
      </c>
      <c r="L33" s="6" t="s">
        <v>26</v>
      </c>
      <c r="M33" s="6">
        <v>1</v>
      </c>
      <c r="N33" s="5">
        <v>236</v>
      </c>
      <c r="O33" s="6" t="s">
        <v>43</v>
      </c>
      <c r="P33" s="6">
        <v>1</v>
      </c>
      <c r="Q33" s="5">
        <v>57</v>
      </c>
      <c r="R33" s="4" t="s">
        <v>74</v>
      </c>
      <c r="S33" s="4"/>
      <c r="T33" s="5">
        <v>91</v>
      </c>
      <c r="U33" s="4" t="s">
        <v>64</v>
      </c>
      <c r="V33" s="4"/>
      <c r="W33" s="4">
        <v>3</v>
      </c>
      <c r="X33" s="13" t="s">
        <v>65</v>
      </c>
      <c r="Y33" s="10" t="str">
        <f>VLOOKUP(A33,[2]CVD!$A:$W,23,FALSE)</f>
        <v>ความเสี่ยงปานกลาง</v>
      </c>
      <c r="Z33" s="23" t="s">
        <v>355</v>
      </c>
      <c r="AA33" s="23" t="s">
        <v>356</v>
      </c>
      <c r="AB33" s="23" t="s">
        <v>356</v>
      </c>
      <c r="AC33" s="23" t="s">
        <v>355</v>
      </c>
      <c r="AD33" s="27">
        <v>1</v>
      </c>
    </row>
    <row r="34" spans="1:30" x14ac:dyDescent="0.45">
      <c r="A34" s="8">
        <v>440047</v>
      </c>
      <c r="B34" s="4" t="s">
        <v>21</v>
      </c>
      <c r="C34" s="4" t="s">
        <v>232</v>
      </c>
      <c r="D34" s="4" t="s">
        <v>233</v>
      </c>
      <c r="E34" s="4" t="str">
        <f>VLOOKUP(A34,[1]GSP!$B:$G,6,FALSE)</f>
        <v>ผ.ปก.D ปอ.</v>
      </c>
      <c r="F34" s="4" t="s">
        <v>34</v>
      </c>
      <c r="G34" s="5">
        <v>89</v>
      </c>
      <c r="H34" s="4" t="s">
        <v>171</v>
      </c>
      <c r="I34" s="4"/>
      <c r="J34" s="5">
        <v>138</v>
      </c>
      <c r="K34" s="5">
        <v>79</v>
      </c>
      <c r="L34" s="6" t="s">
        <v>35</v>
      </c>
      <c r="M34" s="6">
        <v>1</v>
      </c>
      <c r="N34" s="5">
        <v>153</v>
      </c>
      <c r="O34" s="6" t="s">
        <v>27</v>
      </c>
      <c r="P34" s="6">
        <v>1</v>
      </c>
      <c r="Q34" s="5">
        <v>36</v>
      </c>
      <c r="R34" s="6" t="s">
        <v>28</v>
      </c>
      <c r="S34" s="6">
        <v>1</v>
      </c>
      <c r="T34" s="5">
        <v>86</v>
      </c>
      <c r="U34" s="4" t="s">
        <v>64</v>
      </c>
      <c r="V34" s="4"/>
      <c r="W34" s="4">
        <v>3</v>
      </c>
      <c r="X34" s="13" t="s">
        <v>65</v>
      </c>
      <c r="Y34" s="15" t="str">
        <f>VLOOKUP(A34,[2]CVD!$A:$W,23,FALSE)</f>
        <v>ความเสี่ยงต่ำ</v>
      </c>
      <c r="Z34" s="24" t="s">
        <v>359</v>
      </c>
      <c r="AA34" s="24" t="s">
        <v>358</v>
      </c>
      <c r="AB34" s="24" t="s">
        <v>358</v>
      </c>
      <c r="AC34" s="23" t="s">
        <v>355</v>
      </c>
      <c r="AD34" s="27">
        <v>0.25</v>
      </c>
    </row>
    <row r="35" spans="1:30" x14ac:dyDescent="0.45">
      <c r="A35" s="8">
        <v>450037</v>
      </c>
      <c r="B35" s="4" t="s">
        <v>21</v>
      </c>
      <c r="C35" s="4" t="s">
        <v>204</v>
      </c>
      <c r="D35" s="4" t="s">
        <v>205</v>
      </c>
      <c r="E35" s="4" t="str">
        <f>VLOOKUP(A35,[1]GSP!$B:$G,6,FALSE)</f>
        <v>บค.วบก.</v>
      </c>
      <c r="F35" s="4" t="s">
        <v>25</v>
      </c>
      <c r="G35" s="5">
        <v>88</v>
      </c>
      <c r="H35" s="4" t="s">
        <v>171</v>
      </c>
      <c r="I35" s="4"/>
      <c r="J35" s="5">
        <v>126</v>
      </c>
      <c r="K35" s="5">
        <v>88</v>
      </c>
      <c r="L35" s="6" t="s">
        <v>35</v>
      </c>
      <c r="M35" s="6">
        <v>1</v>
      </c>
      <c r="N35" s="5">
        <v>170</v>
      </c>
      <c r="O35" s="6" t="s">
        <v>27</v>
      </c>
      <c r="P35" s="6">
        <v>1</v>
      </c>
      <c r="Q35" s="5">
        <v>40</v>
      </c>
      <c r="R35" s="4" t="s">
        <v>74</v>
      </c>
      <c r="S35" s="4"/>
      <c r="T35" s="5">
        <v>102</v>
      </c>
      <c r="U35" s="6" t="s">
        <v>29</v>
      </c>
      <c r="V35" s="6">
        <v>1</v>
      </c>
      <c r="W35" s="4">
        <v>3</v>
      </c>
      <c r="X35" s="13" t="s">
        <v>65</v>
      </c>
      <c r="Y35" s="15" t="str">
        <f>VLOOKUP(A35,[2]CVD!$A:$W,23,FALSE)</f>
        <v>ความเสี่ยงต่ำ</v>
      </c>
      <c r="Z35" s="24" t="s">
        <v>359</v>
      </c>
      <c r="AA35" s="24" t="s">
        <v>358</v>
      </c>
      <c r="AB35" s="24" t="s">
        <v>358</v>
      </c>
      <c r="AC35" s="25" t="s">
        <v>359</v>
      </c>
      <c r="AD35" s="27">
        <v>0</v>
      </c>
    </row>
    <row r="36" spans="1:30" x14ac:dyDescent="0.45">
      <c r="A36" s="8">
        <v>450077</v>
      </c>
      <c r="B36" s="4" t="s">
        <v>21</v>
      </c>
      <c r="C36" s="4" t="s">
        <v>128</v>
      </c>
      <c r="D36" s="4" t="s">
        <v>129</v>
      </c>
      <c r="E36" s="4" t="str">
        <f>VLOOKUP(A36,[1]GSP!$B:$G,6,FALSE)</f>
        <v>บฟ.วบก.</v>
      </c>
      <c r="F36" s="4" t="s">
        <v>25</v>
      </c>
      <c r="G36" s="5">
        <v>104</v>
      </c>
      <c r="H36" s="6" t="s">
        <v>9</v>
      </c>
      <c r="I36" s="6">
        <v>1</v>
      </c>
      <c r="J36" s="5">
        <v>134</v>
      </c>
      <c r="K36" s="5">
        <v>94</v>
      </c>
      <c r="L36" s="6" t="s">
        <v>26</v>
      </c>
      <c r="M36" s="6">
        <v>1</v>
      </c>
      <c r="N36" s="5">
        <v>159</v>
      </c>
      <c r="O36" s="6" t="s">
        <v>27</v>
      </c>
      <c r="P36" s="6">
        <v>1</v>
      </c>
      <c r="Q36" s="5">
        <v>44</v>
      </c>
      <c r="R36" s="4" t="s">
        <v>74</v>
      </c>
      <c r="S36" s="4"/>
      <c r="T36" s="5">
        <v>83</v>
      </c>
      <c r="U36" s="4" t="s">
        <v>64</v>
      </c>
      <c r="V36" s="4"/>
      <c r="W36" s="4">
        <v>3</v>
      </c>
      <c r="X36" s="13" t="s">
        <v>65</v>
      </c>
      <c r="Y36" s="15" t="str">
        <f>VLOOKUP(A36,[2]CVD!$A:$W,23,FALSE)</f>
        <v>ความเสี่ยงต่ำ</v>
      </c>
      <c r="Z36" s="23" t="s">
        <v>355</v>
      </c>
      <c r="AA36" s="24" t="s">
        <v>358</v>
      </c>
      <c r="AB36" s="24" t="s">
        <v>358</v>
      </c>
      <c r="AC36" s="23" t="s">
        <v>355</v>
      </c>
      <c r="AD36" s="27">
        <v>0.5</v>
      </c>
    </row>
    <row r="37" spans="1:30" x14ac:dyDescent="0.45">
      <c r="A37" s="8">
        <v>470007</v>
      </c>
      <c r="B37" s="4" t="s">
        <v>21</v>
      </c>
      <c r="C37" s="4" t="s">
        <v>291</v>
      </c>
      <c r="D37" s="4" t="s">
        <v>292</v>
      </c>
      <c r="E37" s="4" t="str">
        <f>VLOOKUP(A37,[1]GSP!$B:$G,6,FALSE)</f>
        <v>บค.วบก.</v>
      </c>
      <c r="F37" s="4" t="s">
        <v>25</v>
      </c>
      <c r="G37" s="5">
        <v>98</v>
      </c>
      <c r="H37" s="6" t="s">
        <v>9</v>
      </c>
      <c r="I37" s="6">
        <v>1</v>
      </c>
      <c r="J37" s="5">
        <v>159</v>
      </c>
      <c r="K37" s="5">
        <v>83</v>
      </c>
      <c r="L37" s="6" t="s">
        <v>26</v>
      </c>
      <c r="M37" s="6">
        <v>1</v>
      </c>
      <c r="N37" s="5">
        <v>69</v>
      </c>
      <c r="O37" s="4" t="s">
        <v>74</v>
      </c>
      <c r="P37" s="4"/>
      <c r="Q37" s="5">
        <v>42</v>
      </c>
      <c r="R37" s="4" t="s">
        <v>74</v>
      </c>
      <c r="S37" s="4"/>
      <c r="T37" s="5">
        <v>100</v>
      </c>
      <c r="U37" s="6" t="s">
        <v>29</v>
      </c>
      <c r="V37" s="6">
        <v>1</v>
      </c>
      <c r="W37" s="4">
        <v>3</v>
      </c>
      <c r="X37" s="13" t="s">
        <v>65</v>
      </c>
      <c r="Y37" s="15" t="str">
        <f>VLOOKUP(A37,[2]CVD!$A:$W,23,FALSE)</f>
        <v>ความเสี่ยงต่ำ</v>
      </c>
      <c r="Z37" s="24" t="s">
        <v>359</v>
      </c>
      <c r="AA37" s="24" t="s">
        <v>358</v>
      </c>
      <c r="AB37" s="24" t="s">
        <v>358</v>
      </c>
      <c r="AC37" s="25" t="s">
        <v>359</v>
      </c>
      <c r="AD37" s="27">
        <v>0</v>
      </c>
    </row>
    <row r="38" spans="1:30" x14ac:dyDescent="0.45">
      <c r="A38" s="8">
        <v>470039</v>
      </c>
      <c r="B38" s="4" t="s">
        <v>21</v>
      </c>
      <c r="C38" s="4" t="s">
        <v>140</v>
      </c>
      <c r="D38" s="4" t="s">
        <v>141</v>
      </c>
      <c r="E38" s="4" t="str">
        <f>VLOOKUP(A38,[1]GSP!$B:$G,6,FALSE)</f>
        <v>ผ.ปก.A ปก.</v>
      </c>
      <c r="F38" s="4" t="s">
        <v>34</v>
      </c>
      <c r="G38" s="5">
        <v>97</v>
      </c>
      <c r="H38" s="6" t="s">
        <v>9</v>
      </c>
      <c r="I38" s="6">
        <v>1</v>
      </c>
      <c r="J38" s="5">
        <v>132</v>
      </c>
      <c r="K38" s="5">
        <v>89</v>
      </c>
      <c r="L38" s="6" t="s">
        <v>35</v>
      </c>
      <c r="M38" s="6">
        <v>1</v>
      </c>
      <c r="N38" s="5">
        <v>90</v>
      </c>
      <c r="O38" s="4" t="s">
        <v>74</v>
      </c>
      <c r="P38" s="4"/>
      <c r="Q38" s="5">
        <v>46</v>
      </c>
      <c r="R38" s="4" t="s">
        <v>74</v>
      </c>
      <c r="S38" s="4"/>
      <c r="T38" s="5">
        <v>102</v>
      </c>
      <c r="U38" s="6" t="s">
        <v>29</v>
      </c>
      <c r="V38" s="6">
        <v>1</v>
      </c>
      <c r="W38" s="4">
        <v>3</v>
      </c>
      <c r="X38" s="13" t="s">
        <v>65</v>
      </c>
      <c r="Y38" s="15" t="str">
        <f>VLOOKUP(A38,[2]CVD!$A:$W,23,FALSE)</f>
        <v>ความเสี่ยงต่ำ</v>
      </c>
      <c r="Z38" s="24" t="s">
        <v>359</v>
      </c>
      <c r="AA38" s="24" t="s">
        <v>358</v>
      </c>
      <c r="AB38" s="24" t="s">
        <v>358</v>
      </c>
      <c r="AC38" s="23" t="s">
        <v>355</v>
      </c>
      <c r="AD38" s="27">
        <v>0.25</v>
      </c>
    </row>
    <row r="39" spans="1:30" x14ac:dyDescent="0.45">
      <c r="A39" s="8">
        <v>470055</v>
      </c>
      <c r="B39" s="4" t="s">
        <v>21</v>
      </c>
      <c r="C39" s="4" t="s">
        <v>198</v>
      </c>
      <c r="D39" s="4" t="s">
        <v>199</v>
      </c>
      <c r="E39" s="4" t="str">
        <f>VLOOKUP(A39,[1]GSP!$B:$G,6,FALSE)</f>
        <v>บฟ.วบก.</v>
      </c>
      <c r="F39" s="4" t="s">
        <v>25</v>
      </c>
      <c r="G39" s="5">
        <v>90</v>
      </c>
      <c r="H39" s="6" t="s">
        <v>9</v>
      </c>
      <c r="I39" s="6">
        <v>1</v>
      </c>
      <c r="J39" s="5">
        <v>130</v>
      </c>
      <c r="K39" s="5">
        <v>83</v>
      </c>
      <c r="L39" s="6" t="s">
        <v>35</v>
      </c>
      <c r="M39" s="6">
        <v>1</v>
      </c>
      <c r="N39" s="5">
        <v>250</v>
      </c>
      <c r="O39" s="6" t="s">
        <v>43</v>
      </c>
      <c r="P39" s="6">
        <v>1</v>
      </c>
      <c r="Q39" s="5">
        <v>40</v>
      </c>
      <c r="R39" s="4" t="s">
        <v>74</v>
      </c>
      <c r="S39" s="4"/>
      <c r="T39" s="5">
        <v>122</v>
      </c>
      <c r="U39" s="6" t="s">
        <v>29</v>
      </c>
      <c r="V39" s="6">
        <v>1</v>
      </c>
      <c r="W39" s="4">
        <v>4</v>
      </c>
      <c r="X39" s="13" t="s">
        <v>65</v>
      </c>
      <c r="Y39" s="15" t="str">
        <f>VLOOKUP(A39,[2]CVD!$A:$W,23,FALSE)</f>
        <v>ความเสี่ยงต่ำ</v>
      </c>
      <c r="Z39" s="23" t="s">
        <v>355</v>
      </c>
      <c r="AA39" s="23" t="s">
        <v>356</v>
      </c>
      <c r="AB39" s="24" t="s">
        <v>358</v>
      </c>
      <c r="AC39" s="25" t="s">
        <v>359</v>
      </c>
      <c r="AD39" s="27">
        <v>0.5</v>
      </c>
    </row>
    <row r="40" spans="1:30" x14ac:dyDescent="0.45">
      <c r="A40" s="8">
        <v>470057</v>
      </c>
      <c r="B40" s="4" t="s">
        <v>21</v>
      </c>
      <c r="C40" s="4" t="s">
        <v>119</v>
      </c>
      <c r="D40" s="4" t="s">
        <v>120</v>
      </c>
      <c r="E40" s="4" t="str">
        <f>VLOOKUP(A40,[1]GSP!$B:$G,6,FALSE)</f>
        <v>ผ.คผ.D ปผ.</v>
      </c>
      <c r="F40" s="4" t="s">
        <v>34</v>
      </c>
      <c r="G40" s="5">
        <v>114</v>
      </c>
      <c r="H40" s="6" t="s">
        <v>9</v>
      </c>
      <c r="I40" s="6">
        <v>1</v>
      </c>
      <c r="J40" s="5">
        <v>138</v>
      </c>
      <c r="K40" s="5">
        <v>85</v>
      </c>
      <c r="L40" s="6" t="s">
        <v>35</v>
      </c>
      <c r="M40" s="6">
        <v>1</v>
      </c>
      <c r="N40" s="5">
        <v>98</v>
      </c>
      <c r="O40" s="4" t="s">
        <v>74</v>
      </c>
      <c r="P40" s="4"/>
      <c r="Q40" s="5">
        <v>49</v>
      </c>
      <c r="R40" s="4" t="s">
        <v>74</v>
      </c>
      <c r="S40" s="4"/>
      <c r="T40" s="5">
        <v>139</v>
      </c>
      <c r="U40" s="6" t="s">
        <v>58</v>
      </c>
      <c r="V40" s="6">
        <v>1</v>
      </c>
      <c r="W40" s="4">
        <v>3</v>
      </c>
      <c r="X40" s="13" t="s">
        <v>65</v>
      </c>
      <c r="Y40" s="15" t="str">
        <f>VLOOKUP(A40,[2]CVD!$A:$W,23,FALSE)</f>
        <v>ความเสี่ยงต่ำ</v>
      </c>
      <c r="Z40" s="23" t="s">
        <v>355</v>
      </c>
      <c r="AA40" s="23" t="s">
        <v>356</v>
      </c>
      <c r="AB40" s="24" t="s">
        <v>358</v>
      </c>
      <c r="AC40" s="25" t="s">
        <v>359</v>
      </c>
      <c r="AD40" s="27">
        <v>0.5</v>
      </c>
    </row>
    <row r="41" spans="1:30" x14ac:dyDescent="0.45">
      <c r="A41" s="8">
        <v>470099</v>
      </c>
      <c r="B41" s="4" t="s">
        <v>21</v>
      </c>
      <c r="C41" s="4" t="s">
        <v>52</v>
      </c>
      <c r="D41" s="4" t="s">
        <v>53</v>
      </c>
      <c r="E41" s="4" t="str">
        <f>VLOOKUP(A41,[1]GSP!$B:$G,6,FALSE)</f>
        <v>คผ.D ปต.</v>
      </c>
      <c r="F41" s="4" t="s">
        <v>34</v>
      </c>
      <c r="G41" s="5">
        <v>93</v>
      </c>
      <c r="H41" s="6" t="s">
        <v>9</v>
      </c>
      <c r="I41" s="6">
        <v>1</v>
      </c>
      <c r="J41" s="5">
        <v>152</v>
      </c>
      <c r="K41" s="5">
        <v>89</v>
      </c>
      <c r="L41" s="6" t="s">
        <v>26</v>
      </c>
      <c r="M41" s="6">
        <v>1</v>
      </c>
      <c r="N41" s="5">
        <v>197</v>
      </c>
      <c r="O41" s="6" t="s">
        <v>27</v>
      </c>
      <c r="P41" s="6">
        <v>1</v>
      </c>
      <c r="Q41" s="5">
        <v>35</v>
      </c>
      <c r="R41" s="6" t="s">
        <v>28</v>
      </c>
      <c r="S41" s="6">
        <v>1</v>
      </c>
      <c r="T41" s="5">
        <v>101</v>
      </c>
      <c r="U41" s="6" t="s">
        <v>29</v>
      </c>
      <c r="V41" s="6">
        <v>1</v>
      </c>
      <c r="W41" s="4">
        <v>5</v>
      </c>
      <c r="X41" s="12" t="s">
        <v>30</v>
      </c>
      <c r="Y41" s="15" t="str">
        <f>VLOOKUP(A41,[2]CVD!$A:$W,23,FALSE)</f>
        <v>ความเสี่ยงต่ำ</v>
      </c>
      <c r="Z41" s="24" t="s">
        <v>359</v>
      </c>
      <c r="AA41" s="23" t="s">
        <v>356</v>
      </c>
      <c r="AB41" s="23" t="s">
        <v>356</v>
      </c>
      <c r="AC41" s="23" t="s">
        <v>355</v>
      </c>
      <c r="AD41" s="27">
        <v>0.75</v>
      </c>
    </row>
    <row r="42" spans="1:30" x14ac:dyDescent="0.45">
      <c r="A42" s="8">
        <v>470100</v>
      </c>
      <c r="B42" s="4" t="s">
        <v>21</v>
      </c>
      <c r="C42" s="4" t="s">
        <v>263</v>
      </c>
      <c r="D42" s="4" t="s">
        <v>264</v>
      </c>
      <c r="E42" s="4" t="str">
        <f>VLOOKUP(A42,[1]GSP!$B:$G,6,FALSE)</f>
        <v>คผ.B ปต.</v>
      </c>
      <c r="F42" s="4" t="s">
        <v>34</v>
      </c>
      <c r="G42" s="5">
        <v>97</v>
      </c>
      <c r="H42" s="6" t="s">
        <v>9</v>
      </c>
      <c r="I42" s="6">
        <v>1</v>
      </c>
      <c r="J42" s="5">
        <v>138</v>
      </c>
      <c r="K42" s="5">
        <v>86</v>
      </c>
      <c r="L42" s="6" t="s">
        <v>35</v>
      </c>
      <c r="M42" s="6">
        <v>1</v>
      </c>
      <c r="N42" s="5">
        <v>166</v>
      </c>
      <c r="O42" s="6" t="s">
        <v>27</v>
      </c>
      <c r="P42" s="6">
        <v>1</v>
      </c>
      <c r="Q42" s="5">
        <v>45</v>
      </c>
      <c r="R42" s="4" t="s">
        <v>74</v>
      </c>
      <c r="S42" s="4"/>
      <c r="T42" s="5">
        <v>87</v>
      </c>
      <c r="U42" s="4" t="s">
        <v>64</v>
      </c>
      <c r="V42" s="4"/>
      <c r="W42" s="4">
        <v>3</v>
      </c>
      <c r="X42" s="13" t="s">
        <v>65</v>
      </c>
      <c r="Y42" s="15" t="str">
        <f>VLOOKUP(A42,[2]CVD!$A:$W,23,FALSE)</f>
        <v>ความเสี่ยงต่ำ</v>
      </c>
      <c r="Z42" s="23" t="s">
        <v>355</v>
      </c>
      <c r="AA42" s="26" t="s">
        <v>356</v>
      </c>
      <c r="AB42" s="26" t="s">
        <v>356</v>
      </c>
      <c r="AC42" s="23" t="s">
        <v>355</v>
      </c>
      <c r="AD42" s="27">
        <v>1</v>
      </c>
    </row>
    <row r="43" spans="1:30" x14ac:dyDescent="0.45">
      <c r="A43" s="8">
        <v>470104</v>
      </c>
      <c r="B43" s="4" t="s">
        <v>21</v>
      </c>
      <c r="C43" s="4" t="s">
        <v>287</v>
      </c>
      <c r="D43" s="4" t="s">
        <v>288</v>
      </c>
      <c r="E43" s="4" t="str">
        <f>VLOOKUP(A43,[1]GSP!$B:$G,6,FALSE)</f>
        <v>คผ.D ปจ.</v>
      </c>
      <c r="F43" s="4" t="s">
        <v>34</v>
      </c>
      <c r="G43" s="5">
        <v>96</v>
      </c>
      <c r="H43" s="6" t="s">
        <v>9</v>
      </c>
      <c r="I43" s="6">
        <v>1</v>
      </c>
      <c r="J43" s="5">
        <v>133</v>
      </c>
      <c r="K43" s="5">
        <v>88</v>
      </c>
      <c r="L43" s="6" t="s">
        <v>35</v>
      </c>
      <c r="M43" s="6">
        <v>1</v>
      </c>
      <c r="N43" s="5">
        <v>161</v>
      </c>
      <c r="O43" s="6" t="s">
        <v>27</v>
      </c>
      <c r="P43" s="6">
        <v>1</v>
      </c>
      <c r="Q43" s="5">
        <v>47</v>
      </c>
      <c r="R43" s="4" t="s">
        <v>74</v>
      </c>
      <c r="S43" s="4"/>
      <c r="T43" s="5">
        <v>93</v>
      </c>
      <c r="U43" s="4" t="s">
        <v>64</v>
      </c>
      <c r="V43" s="4"/>
      <c r="W43" s="4">
        <v>3</v>
      </c>
      <c r="X43" s="13" t="s">
        <v>65</v>
      </c>
      <c r="Y43" s="15" t="str">
        <f>VLOOKUP(A43,[2]CVD!$A:$W,23,FALSE)</f>
        <v>ความเสี่ยงต่ำ</v>
      </c>
      <c r="Z43" s="23" t="s">
        <v>355</v>
      </c>
      <c r="AA43" s="23" t="s">
        <v>356</v>
      </c>
      <c r="AB43" s="23" t="s">
        <v>356</v>
      </c>
      <c r="AC43" s="23" t="s">
        <v>355</v>
      </c>
      <c r="AD43" s="27">
        <v>1</v>
      </c>
    </row>
    <row r="44" spans="1:30" x14ac:dyDescent="0.45">
      <c r="A44" s="8">
        <v>480025</v>
      </c>
      <c r="B44" s="4" t="s">
        <v>21</v>
      </c>
      <c r="C44" s="4" t="s">
        <v>202</v>
      </c>
      <c r="D44" s="4" t="s">
        <v>203</v>
      </c>
      <c r="E44" s="4" t="str">
        <f>VLOOKUP(A44,[1]GSP!$B:$G,6,FALSE)</f>
        <v>ผ.ปก.B ปอ.</v>
      </c>
      <c r="F44" s="4" t="s">
        <v>34</v>
      </c>
      <c r="G44" s="5">
        <v>94</v>
      </c>
      <c r="H44" s="6" t="s">
        <v>9</v>
      </c>
      <c r="I44" s="6">
        <v>1</v>
      </c>
      <c r="J44" s="5">
        <v>124</v>
      </c>
      <c r="K44" s="5">
        <v>83</v>
      </c>
      <c r="L44" s="6" t="s">
        <v>35</v>
      </c>
      <c r="M44" s="6">
        <v>1</v>
      </c>
      <c r="N44" s="5">
        <v>259</v>
      </c>
      <c r="O44" s="6" t="s">
        <v>43</v>
      </c>
      <c r="P44" s="6">
        <v>1</v>
      </c>
      <c r="Q44" s="5">
        <v>42</v>
      </c>
      <c r="R44" s="4" t="s">
        <v>74</v>
      </c>
      <c r="S44" s="4"/>
      <c r="T44" s="5">
        <v>95</v>
      </c>
      <c r="U44" s="4" t="s">
        <v>64</v>
      </c>
      <c r="V44" s="4"/>
      <c r="W44" s="4">
        <v>3</v>
      </c>
      <c r="X44" s="13" t="s">
        <v>65</v>
      </c>
      <c r="Y44" s="15" t="str">
        <f>VLOOKUP(A44,[2]CVD!$A:$W,23,FALSE)</f>
        <v>ความเสี่ยงต่ำ</v>
      </c>
      <c r="Z44" s="23" t="s">
        <v>355</v>
      </c>
      <c r="AA44" s="23" t="s">
        <v>356</v>
      </c>
      <c r="AB44" s="23" t="s">
        <v>356</v>
      </c>
      <c r="AC44" s="23" t="s">
        <v>355</v>
      </c>
      <c r="AD44" s="27">
        <v>1</v>
      </c>
    </row>
    <row r="45" spans="1:30" x14ac:dyDescent="0.45">
      <c r="A45" s="8">
        <v>480028</v>
      </c>
      <c r="B45" s="4" t="s">
        <v>21</v>
      </c>
      <c r="C45" s="4" t="s">
        <v>316</v>
      </c>
      <c r="D45" s="4" t="s">
        <v>317</v>
      </c>
      <c r="E45" s="4" t="str">
        <f>VLOOKUP(A45,[1]GSP!$B:$G,6,FALSE)</f>
        <v>บฟ.วบก.</v>
      </c>
      <c r="F45" s="4" t="s">
        <v>25</v>
      </c>
      <c r="G45" s="5">
        <v>108</v>
      </c>
      <c r="H45" s="6" t="s">
        <v>9</v>
      </c>
      <c r="I45" s="6">
        <v>1</v>
      </c>
      <c r="J45" s="5">
        <v>134</v>
      </c>
      <c r="K45" s="5">
        <v>84</v>
      </c>
      <c r="L45" s="6" t="s">
        <v>35</v>
      </c>
      <c r="M45" s="6">
        <v>1</v>
      </c>
      <c r="N45" s="5">
        <v>240</v>
      </c>
      <c r="O45" s="6" t="s">
        <v>43</v>
      </c>
      <c r="P45" s="6">
        <v>1</v>
      </c>
      <c r="Q45" s="5">
        <v>44</v>
      </c>
      <c r="R45" s="4" t="s">
        <v>74</v>
      </c>
      <c r="S45" s="4"/>
      <c r="T45" s="5">
        <v>175</v>
      </c>
      <c r="U45" s="6" t="s">
        <v>58</v>
      </c>
      <c r="V45" s="6">
        <v>1</v>
      </c>
      <c r="W45" s="4">
        <v>4</v>
      </c>
      <c r="X45" s="13" t="s">
        <v>65</v>
      </c>
      <c r="Y45" s="15" t="str">
        <f>VLOOKUP(A45,[2]CVD!$A:$W,23,FALSE)</f>
        <v>ความเสี่ยงต่ำ</v>
      </c>
      <c r="Z45" s="23" t="s">
        <v>355</v>
      </c>
      <c r="AA45" s="23" t="s">
        <v>356</v>
      </c>
      <c r="AB45" s="24" t="s">
        <v>358</v>
      </c>
      <c r="AC45" s="25" t="s">
        <v>359</v>
      </c>
      <c r="AD45" s="27">
        <v>0.5</v>
      </c>
    </row>
    <row r="46" spans="1:30" x14ac:dyDescent="0.45">
      <c r="A46" s="8">
        <v>480049</v>
      </c>
      <c r="B46" s="4" t="s">
        <v>21</v>
      </c>
      <c r="C46" s="4" t="s">
        <v>55</v>
      </c>
      <c r="D46" s="4" t="s">
        <v>56</v>
      </c>
      <c r="E46" s="4" t="str">
        <f>VLOOKUP(A46,[1]GSP!$B:$G,6,FALSE)</f>
        <v>บค.วบก.</v>
      </c>
      <c r="F46" s="4" t="s">
        <v>25</v>
      </c>
      <c r="G46" s="5">
        <v>114</v>
      </c>
      <c r="H46" s="6" t="s">
        <v>9</v>
      </c>
      <c r="I46" s="6">
        <v>1</v>
      </c>
      <c r="J46" s="5">
        <v>154</v>
      </c>
      <c r="K46" s="5">
        <v>89</v>
      </c>
      <c r="L46" s="6" t="s">
        <v>26</v>
      </c>
      <c r="M46" s="6">
        <v>1</v>
      </c>
      <c r="N46" s="5">
        <v>218</v>
      </c>
      <c r="O46" s="6" t="s">
        <v>43</v>
      </c>
      <c r="P46" s="6">
        <v>1</v>
      </c>
      <c r="Q46" s="5">
        <v>39</v>
      </c>
      <c r="R46" s="6" t="s">
        <v>28</v>
      </c>
      <c r="S46" s="6">
        <v>1</v>
      </c>
      <c r="T46" s="5">
        <v>186</v>
      </c>
      <c r="U46" s="6" t="s">
        <v>58</v>
      </c>
      <c r="V46" s="6">
        <v>1</v>
      </c>
      <c r="W46" s="4">
        <v>5</v>
      </c>
      <c r="X46" s="12" t="s">
        <v>30</v>
      </c>
      <c r="Y46" s="6" t="str">
        <f>VLOOKUP(A46,[2]CVD!$A:$W,23,FALSE)</f>
        <v>ความเสี่ยงสูง</v>
      </c>
      <c r="Z46" s="24" t="s">
        <v>359</v>
      </c>
      <c r="AA46" s="23" t="s">
        <v>356</v>
      </c>
      <c r="AB46" s="24" t="s">
        <v>358</v>
      </c>
      <c r="AC46" s="23" t="s">
        <v>355</v>
      </c>
      <c r="AD46" s="27">
        <v>0.5</v>
      </c>
    </row>
    <row r="47" spans="1:30" x14ac:dyDescent="0.45">
      <c r="A47" s="8">
        <v>480176</v>
      </c>
      <c r="B47" s="4" t="s">
        <v>21</v>
      </c>
      <c r="C47" s="4" t="s">
        <v>253</v>
      </c>
      <c r="D47" s="4" t="s">
        <v>254</v>
      </c>
      <c r="E47" s="4" t="str">
        <f>VLOOKUP(A47,[1]GSP!$B:$G,6,FALSE)</f>
        <v>บค.วบก.</v>
      </c>
      <c r="F47" s="4" t="s">
        <v>25</v>
      </c>
      <c r="G47" s="5">
        <v>87</v>
      </c>
      <c r="H47" s="4" t="s">
        <v>171</v>
      </c>
      <c r="I47" s="4"/>
      <c r="J47" s="5">
        <v>98</v>
      </c>
      <c r="K47" s="5">
        <v>67</v>
      </c>
      <c r="L47" s="4" t="s">
        <v>70</v>
      </c>
      <c r="M47" s="4"/>
      <c r="N47" s="5">
        <v>284</v>
      </c>
      <c r="O47" s="6" t="s">
        <v>43</v>
      </c>
      <c r="P47" s="6">
        <v>1</v>
      </c>
      <c r="Q47" s="5">
        <v>31</v>
      </c>
      <c r="R47" s="6" t="s">
        <v>28</v>
      </c>
      <c r="S47" s="6">
        <v>1</v>
      </c>
      <c r="T47" s="5">
        <v>101</v>
      </c>
      <c r="U47" s="6" t="s">
        <v>29</v>
      </c>
      <c r="V47" s="6">
        <v>1</v>
      </c>
      <c r="W47" s="4">
        <v>3</v>
      </c>
      <c r="X47" s="13" t="s">
        <v>65</v>
      </c>
      <c r="Y47" s="15" t="str">
        <f>VLOOKUP(A47,[2]CVD!$A:$W,23,FALSE)</f>
        <v>ความเสี่ยงต่ำ</v>
      </c>
      <c r="Z47" s="24" t="s">
        <v>359</v>
      </c>
      <c r="AA47" s="24" t="s">
        <v>358</v>
      </c>
      <c r="AB47" s="24" t="s">
        <v>358</v>
      </c>
      <c r="AC47" s="25" t="s">
        <v>359</v>
      </c>
      <c r="AD47" s="27">
        <v>0</v>
      </c>
    </row>
    <row r="48" spans="1:30" x14ac:dyDescent="0.45">
      <c r="A48" s="8">
        <v>480180</v>
      </c>
      <c r="B48" s="4" t="s">
        <v>21</v>
      </c>
      <c r="C48" s="4" t="s">
        <v>59</v>
      </c>
      <c r="D48" s="4" t="s">
        <v>60</v>
      </c>
      <c r="E48" s="4" t="str">
        <f>VLOOKUP(A48,[1]GSP!$B:$G,6,FALSE)</f>
        <v>บง.วบก.</v>
      </c>
      <c r="F48" s="4" t="s">
        <v>25</v>
      </c>
      <c r="G48" s="5">
        <v>112</v>
      </c>
      <c r="H48" s="6" t="s">
        <v>9</v>
      </c>
      <c r="I48" s="6">
        <v>1</v>
      </c>
      <c r="J48" s="5">
        <v>140</v>
      </c>
      <c r="K48" s="5">
        <v>91</v>
      </c>
      <c r="L48" s="6" t="s">
        <v>26</v>
      </c>
      <c r="M48" s="6">
        <v>1</v>
      </c>
      <c r="N48" s="5">
        <v>217</v>
      </c>
      <c r="O48" s="6" t="s">
        <v>43</v>
      </c>
      <c r="P48" s="6">
        <v>1</v>
      </c>
      <c r="Q48" s="5">
        <v>35</v>
      </c>
      <c r="R48" s="6" t="s">
        <v>28</v>
      </c>
      <c r="S48" s="6">
        <v>1</v>
      </c>
      <c r="T48" s="5">
        <v>232</v>
      </c>
      <c r="U48" s="6" t="s">
        <v>58</v>
      </c>
      <c r="V48" s="6">
        <v>1</v>
      </c>
      <c r="W48" s="4">
        <v>5</v>
      </c>
      <c r="X48" s="12" t="s">
        <v>30</v>
      </c>
      <c r="Y48" s="15" t="str">
        <f>VLOOKUP(A48,[2]CVD!$A:$W,23,FALSE)</f>
        <v>ความเสี่ยงต่ำ</v>
      </c>
      <c r="Z48" s="24" t="s">
        <v>359</v>
      </c>
      <c r="AA48" s="24" t="s">
        <v>358</v>
      </c>
      <c r="AB48" s="24" t="s">
        <v>358</v>
      </c>
      <c r="AC48" s="25" t="s">
        <v>359</v>
      </c>
      <c r="AD48" s="27">
        <v>0</v>
      </c>
    </row>
    <row r="49" spans="1:30" x14ac:dyDescent="0.45">
      <c r="A49" s="8">
        <v>480190</v>
      </c>
      <c r="B49" s="4" t="s">
        <v>21</v>
      </c>
      <c r="C49" s="4" t="s">
        <v>255</v>
      </c>
      <c r="D49" s="4" t="s">
        <v>256</v>
      </c>
      <c r="E49" s="4" t="str">
        <f>VLOOKUP(A49,[1]GSP!$B:$G,6,FALSE)</f>
        <v>คผ.C ปล.</v>
      </c>
      <c r="F49" s="4" t="s">
        <v>34</v>
      </c>
      <c r="G49" s="5">
        <v>89</v>
      </c>
      <c r="H49" s="4" t="s">
        <v>171</v>
      </c>
      <c r="I49" s="4"/>
      <c r="J49" s="5">
        <v>119</v>
      </c>
      <c r="K49" s="5">
        <v>61</v>
      </c>
      <c r="L49" s="4" t="s">
        <v>70</v>
      </c>
      <c r="M49" s="4"/>
      <c r="N49" s="5">
        <v>234</v>
      </c>
      <c r="O49" s="6" t="s">
        <v>43</v>
      </c>
      <c r="P49" s="6">
        <v>1</v>
      </c>
      <c r="Q49" s="5">
        <v>32</v>
      </c>
      <c r="R49" s="6" t="s">
        <v>28</v>
      </c>
      <c r="S49" s="6">
        <v>1</v>
      </c>
      <c r="T49" s="5">
        <v>105</v>
      </c>
      <c r="U49" s="6" t="s">
        <v>29</v>
      </c>
      <c r="V49" s="6">
        <v>1</v>
      </c>
      <c r="W49" s="4">
        <v>3</v>
      </c>
      <c r="X49" s="13" t="s">
        <v>65</v>
      </c>
      <c r="Y49" s="15" t="str">
        <f>VLOOKUP(A49,[2]CVD!$A:$W,23,FALSE)</f>
        <v>ความเสี่ยงต่ำ</v>
      </c>
      <c r="Z49" s="24" t="s">
        <v>359</v>
      </c>
      <c r="AA49" s="24" t="s">
        <v>358</v>
      </c>
      <c r="AB49" s="24" t="s">
        <v>358</v>
      </c>
      <c r="AC49" s="23" t="s">
        <v>355</v>
      </c>
      <c r="AD49" s="27">
        <v>0.25</v>
      </c>
    </row>
    <row r="50" spans="1:30" x14ac:dyDescent="0.45">
      <c r="A50" s="8">
        <v>480194</v>
      </c>
      <c r="B50" s="4" t="s">
        <v>21</v>
      </c>
      <c r="C50" s="4" t="s">
        <v>314</v>
      </c>
      <c r="D50" s="4" t="s">
        <v>315</v>
      </c>
      <c r="E50" s="4" t="str">
        <f>VLOOKUP(A50,[1]GSP!$B:$G,6,FALSE)</f>
        <v>ผ.ปก.D ปก.</v>
      </c>
      <c r="F50" s="4" t="s">
        <v>34</v>
      </c>
      <c r="G50" s="5">
        <v>96</v>
      </c>
      <c r="H50" s="6" t="s">
        <v>9</v>
      </c>
      <c r="I50" s="6">
        <v>1</v>
      </c>
      <c r="J50" s="5">
        <v>134</v>
      </c>
      <c r="K50" s="5">
        <v>82</v>
      </c>
      <c r="L50" s="6" t="s">
        <v>35</v>
      </c>
      <c r="M50" s="6">
        <v>1</v>
      </c>
      <c r="N50" s="5">
        <v>158</v>
      </c>
      <c r="O50" s="6" t="s">
        <v>27</v>
      </c>
      <c r="P50" s="6">
        <v>1</v>
      </c>
      <c r="Q50" s="5">
        <v>29</v>
      </c>
      <c r="R50" s="6" t="s">
        <v>28</v>
      </c>
      <c r="S50" s="6">
        <v>1</v>
      </c>
      <c r="T50" s="5">
        <v>94</v>
      </c>
      <c r="U50" s="4" t="s">
        <v>64</v>
      </c>
      <c r="V50" s="4"/>
      <c r="W50" s="4">
        <v>4</v>
      </c>
      <c r="X50" s="13" t="s">
        <v>65</v>
      </c>
      <c r="Y50" s="15" t="str">
        <f>VLOOKUP(A50,[2]CVD!$A:$W,23,FALSE)</f>
        <v>ความเสี่ยงต่ำ</v>
      </c>
      <c r="Z50" s="24" t="s">
        <v>359</v>
      </c>
      <c r="AA50" s="23" t="s">
        <v>356</v>
      </c>
      <c r="AB50" s="23" t="s">
        <v>356</v>
      </c>
      <c r="AC50" s="23" t="s">
        <v>355</v>
      </c>
      <c r="AD50" s="27">
        <v>0.75</v>
      </c>
    </row>
    <row r="51" spans="1:30" x14ac:dyDescent="0.45">
      <c r="A51" s="8">
        <v>480199</v>
      </c>
      <c r="B51" s="4" t="s">
        <v>21</v>
      </c>
      <c r="C51" s="4" t="s">
        <v>259</v>
      </c>
      <c r="D51" s="4" t="s">
        <v>260</v>
      </c>
      <c r="E51" s="4" t="str">
        <f>VLOOKUP(A51,[1]GSP!$B:$G,6,FALSE)</f>
        <v>บฟ.วบก.</v>
      </c>
      <c r="F51" s="4" t="s">
        <v>25</v>
      </c>
      <c r="G51" s="5">
        <v>117</v>
      </c>
      <c r="H51" s="6" t="s">
        <v>9</v>
      </c>
      <c r="I51" s="6">
        <v>1</v>
      </c>
      <c r="J51" s="5">
        <v>132</v>
      </c>
      <c r="K51" s="5">
        <v>78</v>
      </c>
      <c r="L51" s="6" t="s">
        <v>35</v>
      </c>
      <c r="M51" s="6">
        <v>1</v>
      </c>
      <c r="N51" s="5">
        <v>107</v>
      </c>
      <c r="O51" s="4" t="s">
        <v>74</v>
      </c>
      <c r="P51" s="4"/>
      <c r="Q51" s="5">
        <v>40</v>
      </c>
      <c r="R51" s="4" t="s">
        <v>74</v>
      </c>
      <c r="S51" s="4"/>
      <c r="T51" s="5">
        <v>115</v>
      </c>
      <c r="U51" s="6" t="s">
        <v>29</v>
      </c>
      <c r="V51" s="6">
        <v>1</v>
      </c>
      <c r="W51" s="4">
        <v>3</v>
      </c>
      <c r="X51" s="13" t="s">
        <v>65</v>
      </c>
      <c r="Y51" s="15" t="str">
        <f>VLOOKUP(A51,[2]CVD!$A:$W,23,FALSE)</f>
        <v>ความเสี่ยงต่ำ</v>
      </c>
      <c r="Z51" s="24" t="s">
        <v>359</v>
      </c>
      <c r="AA51" s="24" t="s">
        <v>358</v>
      </c>
      <c r="AB51" s="24" t="s">
        <v>358</v>
      </c>
      <c r="AC51" s="25" t="s">
        <v>359</v>
      </c>
      <c r="AD51" s="27">
        <v>0</v>
      </c>
    </row>
    <row r="52" spans="1:30" x14ac:dyDescent="0.45">
      <c r="A52" s="8">
        <v>480214</v>
      </c>
      <c r="B52" s="4" t="s">
        <v>21</v>
      </c>
      <c r="C52" s="4" t="s">
        <v>269</v>
      </c>
      <c r="D52" s="4" t="s">
        <v>270</v>
      </c>
      <c r="E52" s="4" t="str">
        <f>VLOOKUP(A52,[1]GSP!$B:$G,6,FALSE)</f>
        <v>ผ.ปก.A ปอ.</v>
      </c>
      <c r="F52" s="4" t="s">
        <v>34</v>
      </c>
      <c r="G52" s="5">
        <v>112</v>
      </c>
      <c r="H52" s="6" t="s">
        <v>9</v>
      </c>
      <c r="I52" s="6">
        <v>1</v>
      </c>
      <c r="J52" s="5">
        <v>177</v>
      </c>
      <c r="K52" s="5">
        <v>118</v>
      </c>
      <c r="L52" s="6" t="s">
        <v>185</v>
      </c>
      <c r="M52" s="6">
        <v>1</v>
      </c>
      <c r="N52" s="5">
        <v>241</v>
      </c>
      <c r="O52" s="6" t="s">
        <v>43</v>
      </c>
      <c r="P52" s="6">
        <v>1</v>
      </c>
      <c r="Q52" s="5">
        <v>62</v>
      </c>
      <c r="R52" s="4" t="s">
        <v>82</v>
      </c>
      <c r="S52" s="4"/>
      <c r="T52" s="5">
        <v>111</v>
      </c>
      <c r="U52" s="6" t="s">
        <v>29</v>
      </c>
      <c r="V52" s="6">
        <v>1</v>
      </c>
      <c r="W52" s="4">
        <v>4</v>
      </c>
      <c r="X52" s="13" t="s">
        <v>65</v>
      </c>
      <c r="Y52" s="10" t="str">
        <f>VLOOKUP(A52,[2]CVD!$A:$W,23,FALSE)</f>
        <v>ความเสี่ยงปานกลาง</v>
      </c>
      <c r="Z52" s="24" t="s">
        <v>359</v>
      </c>
      <c r="AA52" s="24" t="s">
        <v>358</v>
      </c>
      <c r="AB52" s="24" t="s">
        <v>358</v>
      </c>
      <c r="AC52" s="25" t="s">
        <v>359</v>
      </c>
      <c r="AD52" s="27">
        <v>0</v>
      </c>
    </row>
    <row r="53" spans="1:30" x14ac:dyDescent="0.45">
      <c r="A53" s="8">
        <v>480216</v>
      </c>
      <c r="B53" s="4" t="s">
        <v>21</v>
      </c>
      <c r="C53" s="4" t="s">
        <v>163</v>
      </c>
      <c r="D53" s="4" t="s">
        <v>164</v>
      </c>
      <c r="E53" s="4" t="str">
        <f>VLOOKUP(A53,[1]GSP!$B:$G,6,FALSE)</f>
        <v>คผ.D ปต.</v>
      </c>
      <c r="F53" s="4" t="s">
        <v>34</v>
      </c>
      <c r="G53" s="5">
        <v>102</v>
      </c>
      <c r="H53" s="6" t="s">
        <v>9</v>
      </c>
      <c r="I53" s="6">
        <v>1</v>
      </c>
      <c r="J53" s="5">
        <v>130</v>
      </c>
      <c r="K53" s="5">
        <v>75</v>
      </c>
      <c r="L53" s="6" t="s">
        <v>35</v>
      </c>
      <c r="M53" s="6">
        <v>1</v>
      </c>
      <c r="N53" s="5">
        <v>319</v>
      </c>
      <c r="O53" s="6" t="s">
        <v>43</v>
      </c>
      <c r="P53" s="6">
        <v>1</v>
      </c>
      <c r="Q53" s="5">
        <v>39</v>
      </c>
      <c r="R53" s="6" t="s">
        <v>28</v>
      </c>
      <c r="S53" s="6">
        <v>1</v>
      </c>
      <c r="T53" s="5">
        <v>93</v>
      </c>
      <c r="U53" s="4" t="s">
        <v>64</v>
      </c>
      <c r="V53" s="4"/>
      <c r="W53" s="4">
        <v>4</v>
      </c>
      <c r="X53" s="13" t="s">
        <v>65</v>
      </c>
      <c r="Y53" s="15" t="str">
        <f>VLOOKUP(A53,[2]CVD!$A:$W,23,FALSE)</f>
        <v>ความเสี่ยงต่ำ</v>
      </c>
      <c r="Z53" s="24" t="s">
        <v>359</v>
      </c>
      <c r="AA53" s="24" t="s">
        <v>358</v>
      </c>
      <c r="AB53" s="24" t="s">
        <v>358</v>
      </c>
      <c r="AC53" s="25" t="s">
        <v>359</v>
      </c>
      <c r="AD53" s="27">
        <v>0</v>
      </c>
    </row>
    <row r="54" spans="1:30" x14ac:dyDescent="0.45">
      <c r="A54" s="8">
        <v>480218</v>
      </c>
      <c r="B54" s="4" t="s">
        <v>21</v>
      </c>
      <c r="C54" s="4" t="s">
        <v>179</v>
      </c>
      <c r="D54" s="4" t="s">
        <v>180</v>
      </c>
      <c r="E54" s="4" t="str">
        <f>VLOOKUP(A54,[1]GSP!$B:$G,6,FALSE)</f>
        <v>คผ.B ปต.</v>
      </c>
      <c r="F54" s="4" t="s">
        <v>34</v>
      </c>
      <c r="G54" s="5">
        <v>97</v>
      </c>
      <c r="H54" s="6" t="s">
        <v>9</v>
      </c>
      <c r="I54" s="6">
        <v>1</v>
      </c>
      <c r="J54" s="5">
        <v>117</v>
      </c>
      <c r="K54" s="5">
        <v>74</v>
      </c>
      <c r="L54" s="4" t="s">
        <v>70</v>
      </c>
      <c r="M54" s="4"/>
      <c r="N54" s="5">
        <v>282</v>
      </c>
      <c r="O54" s="6" t="s">
        <v>43</v>
      </c>
      <c r="P54" s="6">
        <v>1</v>
      </c>
      <c r="Q54" s="5">
        <v>47</v>
      </c>
      <c r="R54" s="4" t="s">
        <v>74</v>
      </c>
      <c r="S54" s="4"/>
      <c r="T54" s="5">
        <v>163</v>
      </c>
      <c r="U54" s="6" t="s">
        <v>58</v>
      </c>
      <c r="V54" s="6">
        <v>1</v>
      </c>
      <c r="W54" s="4">
        <v>3</v>
      </c>
      <c r="X54" s="13" t="s">
        <v>65</v>
      </c>
      <c r="Y54" s="15" t="str">
        <f>VLOOKUP(A54,[2]CVD!$A:$W,23,FALSE)</f>
        <v>ความเสี่ยงต่ำ</v>
      </c>
      <c r="Z54" s="23" t="s">
        <v>355</v>
      </c>
      <c r="AA54" s="26" t="s">
        <v>356</v>
      </c>
      <c r="AB54" s="26" t="s">
        <v>356</v>
      </c>
      <c r="AC54" s="23" t="s">
        <v>355</v>
      </c>
      <c r="AD54" s="27">
        <v>1</v>
      </c>
    </row>
    <row r="55" spans="1:30" x14ac:dyDescent="0.45">
      <c r="A55" s="8">
        <v>480220</v>
      </c>
      <c r="B55" s="4" t="s">
        <v>21</v>
      </c>
      <c r="C55" s="4" t="s">
        <v>245</v>
      </c>
      <c r="D55" s="4" t="s">
        <v>246</v>
      </c>
      <c r="E55" s="4" t="str">
        <f>VLOOKUP(A55,[1]GSP!$B:$G,6,FALSE)</f>
        <v>ผ.ปก.A ปก.</v>
      </c>
      <c r="F55" s="4" t="s">
        <v>34</v>
      </c>
      <c r="G55" s="5">
        <v>110</v>
      </c>
      <c r="H55" s="6" t="s">
        <v>9</v>
      </c>
      <c r="I55" s="6">
        <v>1</v>
      </c>
      <c r="J55" s="5">
        <v>132</v>
      </c>
      <c r="K55" s="5">
        <v>82</v>
      </c>
      <c r="L55" s="6" t="s">
        <v>35</v>
      </c>
      <c r="M55" s="6">
        <v>1</v>
      </c>
      <c r="N55" s="5">
        <v>96</v>
      </c>
      <c r="O55" s="4" t="s">
        <v>74</v>
      </c>
      <c r="P55" s="4"/>
      <c r="Q55" s="5">
        <v>39</v>
      </c>
      <c r="R55" s="6" t="s">
        <v>28</v>
      </c>
      <c r="S55" s="6">
        <v>1</v>
      </c>
      <c r="T55" s="5">
        <v>81</v>
      </c>
      <c r="U55" s="4" t="s">
        <v>64</v>
      </c>
      <c r="V55" s="4"/>
      <c r="W55" s="4">
        <v>3</v>
      </c>
      <c r="X55" s="13" t="s">
        <v>65</v>
      </c>
      <c r="Y55" s="15" t="str">
        <f>VLOOKUP(A55,[2]CVD!$A:$W,23,FALSE)</f>
        <v>ความเสี่ยงต่ำ</v>
      </c>
      <c r="Z55" s="24" t="s">
        <v>359</v>
      </c>
      <c r="AA55" s="24" t="s">
        <v>358</v>
      </c>
      <c r="AB55" s="24" t="s">
        <v>358</v>
      </c>
      <c r="AC55" s="23" t="s">
        <v>355</v>
      </c>
      <c r="AD55" s="27">
        <v>0.25</v>
      </c>
    </row>
    <row r="56" spans="1:30" x14ac:dyDescent="0.45">
      <c r="A56" s="8">
        <v>480225</v>
      </c>
      <c r="B56" s="4" t="s">
        <v>21</v>
      </c>
      <c r="C56" s="4" t="s">
        <v>183</v>
      </c>
      <c r="D56" s="4" t="s">
        <v>184</v>
      </c>
      <c r="E56" s="4" t="str">
        <f>VLOOKUP(A56,[1]GSP!$B:$G,6,FALSE)</f>
        <v>ผ.คผ.C ปผ.</v>
      </c>
      <c r="F56" s="4" t="s">
        <v>34</v>
      </c>
      <c r="G56" s="5">
        <v>104</v>
      </c>
      <c r="H56" s="6" t="s">
        <v>9</v>
      </c>
      <c r="I56" s="6">
        <v>1</v>
      </c>
      <c r="J56" s="5">
        <v>161</v>
      </c>
      <c r="K56" s="5">
        <v>110</v>
      </c>
      <c r="L56" s="6" t="s">
        <v>185</v>
      </c>
      <c r="M56" s="6">
        <v>1</v>
      </c>
      <c r="N56" s="5">
        <v>339</v>
      </c>
      <c r="O56" s="6" t="s">
        <v>43</v>
      </c>
      <c r="P56" s="6">
        <v>1</v>
      </c>
      <c r="Q56" s="5">
        <v>41</v>
      </c>
      <c r="R56" s="4" t="s">
        <v>74</v>
      </c>
      <c r="S56" s="4"/>
      <c r="T56" s="5">
        <v>134</v>
      </c>
      <c r="U56" s="6" t="s">
        <v>58</v>
      </c>
      <c r="V56" s="6">
        <v>1</v>
      </c>
      <c r="W56" s="4">
        <v>4</v>
      </c>
      <c r="X56" s="13" t="s">
        <v>65</v>
      </c>
      <c r="Y56" s="10" t="str">
        <f>VLOOKUP(A56,[2]CVD!$A:$W,23,FALSE)</f>
        <v>ความเสี่ยงปานกลาง</v>
      </c>
      <c r="Z56" s="24" t="s">
        <v>359</v>
      </c>
      <c r="AA56" s="24" t="s">
        <v>358</v>
      </c>
      <c r="AB56" s="24" t="s">
        <v>358</v>
      </c>
      <c r="AC56" s="25" t="s">
        <v>359</v>
      </c>
      <c r="AD56" s="27">
        <v>0</v>
      </c>
    </row>
    <row r="57" spans="1:30" x14ac:dyDescent="0.45">
      <c r="A57" s="8">
        <v>480226</v>
      </c>
      <c r="B57" s="4" t="s">
        <v>21</v>
      </c>
      <c r="C57" s="4" t="s">
        <v>167</v>
      </c>
      <c r="D57" s="4" t="s">
        <v>168</v>
      </c>
      <c r="E57" s="4" t="str">
        <f>VLOOKUP(A57,[1]GSP!$B:$G,6,FALSE)</f>
        <v>คผฺ.B ปจ.</v>
      </c>
      <c r="F57" s="4" t="s">
        <v>34</v>
      </c>
      <c r="G57" s="5">
        <v>99</v>
      </c>
      <c r="H57" s="6" t="s">
        <v>9</v>
      </c>
      <c r="I57" s="6">
        <v>1</v>
      </c>
      <c r="J57" s="5">
        <v>136</v>
      </c>
      <c r="K57" s="5">
        <v>83</v>
      </c>
      <c r="L57" s="6" t="s">
        <v>35</v>
      </c>
      <c r="M57" s="6">
        <v>1</v>
      </c>
      <c r="N57" s="5">
        <v>751</v>
      </c>
      <c r="O57" s="6" t="s">
        <v>48</v>
      </c>
      <c r="P57" s="6">
        <v>1</v>
      </c>
      <c r="Q57" s="5">
        <v>38</v>
      </c>
      <c r="R57" s="6" t="s">
        <v>28</v>
      </c>
      <c r="S57" s="6">
        <v>1</v>
      </c>
      <c r="T57" s="5">
        <v>92</v>
      </c>
      <c r="U57" s="4" t="s">
        <v>64</v>
      </c>
      <c r="V57" s="4"/>
      <c r="W57" s="4">
        <v>4</v>
      </c>
      <c r="X57" s="13" t="s">
        <v>65</v>
      </c>
      <c r="Y57" s="15" t="str">
        <f>VLOOKUP(A57,[2]CVD!$A:$W,23,FALSE)</f>
        <v>ความเสี่ยงต่ำ</v>
      </c>
      <c r="Z57" s="24" t="s">
        <v>359</v>
      </c>
      <c r="AA57" s="24" t="s">
        <v>358</v>
      </c>
      <c r="AB57" s="24" t="s">
        <v>358</v>
      </c>
      <c r="AC57" s="25" t="s">
        <v>359</v>
      </c>
      <c r="AD57" s="27">
        <v>0</v>
      </c>
    </row>
    <row r="58" spans="1:30" x14ac:dyDescent="0.45">
      <c r="A58" s="8">
        <v>480235</v>
      </c>
      <c r="B58" s="4" t="s">
        <v>21</v>
      </c>
      <c r="C58" s="4" t="s">
        <v>200</v>
      </c>
      <c r="D58" s="4" t="s">
        <v>201</v>
      </c>
      <c r="E58" s="4" t="str">
        <f>VLOOKUP(A58,[1]GSP!$B:$G,6,FALSE)</f>
        <v>คผ.A ปจ.</v>
      </c>
      <c r="F58" s="4" t="s">
        <v>34</v>
      </c>
      <c r="G58" s="5">
        <v>122</v>
      </c>
      <c r="H58" s="6" t="s">
        <v>9</v>
      </c>
      <c r="I58" s="6">
        <v>1</v>
      </c>
      <c r="J58" s="5">
        <v>139</v>
      </c>
      <c r="K58" s="5">
        <v>96</v>
      </c>
      <c r="L58" s="6" t="s">
        <v>26</v>
      </c>
      <c r="M58" s="6">
        <v>1</v>
      </c>
      <c r="N58" s="5">
        <v>494</v>
      </c>
      <c r="O58" s="6" t="s">
        <v>43</v>
      </c>
      <c r="P58" s="6">
        <v>1</v>
      </c>
      <c r="Q58" s="5">
        <v>40</v>
      </c>
      <c r="R58" s="4" t="s">
        <v>74</v>
      </c>
      <c r="S58" s="4"/>
      <c r="T58" s="5">
        <v>130</v>
      </c>
      <c r="U58" s="6" t="s">
        <v>58</v>
      </c>
      <c r="V58" s="6">
        <v>1</v>
      </c>
      <c r="W58" s="4">
        <v>4</v>
      </c>
      <c r="X58" s="13" t="s">
        <v>65</v>
      </c>
      <c r="Y58" s="15" t="str">
        <f>VLOOKUP(A58,[2]CVD!$A:$W,23,FALSE)</f>
        <v>ความเสี่ยงต่ำ</v>
      </c>
      <c r="Z58" s="24" t="s">
        <v>359</v>
      </c>
      <c r="AA58" s="24" t="s">
        <v>358</v>
      </c>
      <c r="AB58" s="24" t="s">
        <v>358</v>
      </c>
      <c r="AC58" s="25" t="s">
        <v>359</v>
      </c>
      <c r="AD58" s="27">
        <v>0</v>
      </c>
    </row>
    <row r="59" spans="1:30" x14ac:dyDescent="0.45">
      <c r="A59" s="8">
        <v>480237</v>
      </c>
      <c r="B59" s="4" t="s">
        <v>21</v>
      </c>
      <c r="C59" s="4" t="s">
        <v>156</v>
      </c>
      <c r="D59" s="4" t="s">
        <v>157</v>
      </c>
      <c r="E59" s="4" t="str">
        <f>VLOOKUP(A59,[1]GSP!$B:$G,6,FALSE)</f>
        <v>คผ.A ปต.</v>
      </c>
      <c r="F59" s="4" t="s">
        <v>34</v>
      </c>
      <c r="G59" s="5">
        <v>132</v>
      </c>
      <c r="H59" s="6" t="s">
        <v>9</v>
      </c>
      <c r="I59" s="6">
        <v>1</v>
      </c>
      <c r="J59" s="5">
        <v>150</v>
      </c>
      <c r="K59" s="5">
        <v>87</v>
      </c>
      <c r="L59" s="6" t="s">
        <v>26</v>
      </c>
      <c r="M59" s="6">
        <v>1</v>
      </c>
      <c r="N59" s="5">
        <v>152</v>
      </c>
      <c r="O59" s="6" t="s">
        <v>27</v>
      </c>
      <c r="P59" s="6">
        <v>1</v>
      </c>
      <c r="Q59" s="5">
        <v>48</v>
      </c>
      <c r="R59" s="4" t="s">
        <v>74</v>
      </c>
      <c r="S59" s="4"/>
      <c r="T59" s="5">
        <v>118</v>
      </c>
      <c r="U59" s="6" t="s">
        <v>29</v>
      </c>
      <c r="V59" s="6">
        <v>1</v>
      </c>
      <c r="W59" s="4">
        <v>4</v>
      </c>
      <c r="X59" s="13" t="s">
        <v>65</v>
      </c>
      <c r="Y59" s="15" t="str">
        <f>VLOOKUP(A59,[2]CVD!$A:$W,23,FALSE)</f>
        <v>ความเสี่ยงต่ำ</v>
      </c>
      <c r="Z59" s="24" t="s">
        <v>359</v>
      </c>
      <c r="AA59" s="24" t="s">
        <v>358</v>
      </c>
      <c r="AB59" s="24" t="s">
        <v>358</v>
      </c>
      <c r="AC59" s="25" t="s">
        <v>359</v>
      </c>
      <c r="AD59" s="27">
        <v>0</v>
      </c>
    </row>
    <row r="60" spans="1:30" x14ac:dyDescent="0.45">
      <c r="A60" s="8">
        <v>480239</v>
      </c>
      <c r="B60" s="4" t="s">
        <v>21</v>
      </c>
      <c r="C60" s="4" t="s">
        <v>96</v>
      </c>
      <c r="D60" s="4" t="s">
        <v>97</v>
      </c>
      <c r="E60" s="4" t="str">
        <f>VLOOKUP(A60,[1]GSP!$B:$G,6,FALSE)</f>
        <v>บค.วบก.</v>
      </c>
      <c r="F60" s="4" t="s">
        <v>25</v>
      </c>
      <c r="G60" s="5">
        <v>95</v>
      </c>
      <c r="H60" s="6" t="s">
        <v>9</v>
      </c>
      <c r="I60" s="6">
        <v>1</v>
      </c>
      <c r="J60" s="5">
        <v>122</v>
      </c>
      <c r="K60" s="5">
        <v>69</v>
      </c>
      <c r="L60" s="4" t="s">
        <v>70</v>
      </c>
      <c r="M60" s="4"/>
      <c r="N60" s="5">
        <v>691</v>
      </c>
      <c r="O60" s="6" t="s">
        <v>48</v>
      </c>
      <c r="P60" s="6">
        <v>1</v>
      </c>
      <c r="Q60" s="5">
        <v>36</v>
      </c>
      <c r="R60" s="6" t="s">
        <v>28</v>
      </c>
      <c r="S60" s="6">
        <v>1</v>
      </c>
      <c r="T60" s="5">
        <v>95</v>
      </c>
      <c r="U60" s="4" t="s">
        <v>64</v>
      </c>
      <c r="V60" s="4"/>
      <c r="W60" s="4">
        <v>3</v>
      </c>
      <c r="X60" s="13" t="s">
        <v>65</v>
      </c>
      <c r="Y60" s="15" t="str">
        <f>VLOOKUP(A60,[2]CVD!$A:$W,23,FALSE)</f>
        <v>ความเสี่ยงต่ำ</v>
      </c>
      <c r="Z60" s="24" t="s">
        <v>359</v>
      </c>
      <c r="AA60" s="24" t="s">
        <v>358</v>
      </c>
      <c r="AB60" s="24" t="s">
        <v>358</v>
      </c>
      <c r="AC60" s="25" t="s">
        <v>359</v>
      </c>
      <c r="AD60" s="27">
        <v>0</v>
      </c>
    </row>
    <row r="61" spans="1:30" x14ac:dyDescent="0.45">
      <c r="A61" s="8">
        <v>480240</v>
      </c>
      <c r="B61" s="4" t="s">
        <v>21</v>
      </c>
      <c r="C61" s="4" t="s">
        <v>116</v>
      </c>
      <c r="D61" s="4" t="s">
        <v>117</v>
      </c>
      <c r="E61" s="4" t="str">
        <f>VLOOKUP(A61,[1]GSP!$B:$G,6,FALSE)</f>
        <v>ผ.คผ.A ปผ.</v>
      </c>
      <c r="F61" s="4" t="s">
        <v>34</v>
      </c>
      <c r="G61" s="5">
        <v>114</v>
      </c>
      <c r="H61" s="6" t="s">
        <v>9</v>
      </c>
      <c r="I61" s="6">
        <v>1</v>
      </c>
      <c r="J61" s="5">
        <v>129</v>
      </c>
      <c r="K61" s="5">
        <v>82</v>
      </c>
      <c r="L61" s="6" t="s">
        <v>35</v>
      </c>
      <c r="M61" s="6">
        <v>1</v>
      </c>
      <c r="N61" s="5">
        <v>123</v>
      </c>
      <c r="O61" s="4" t="s">
        <v>74</v>
      </c>
      <c r="P61" s="4"/>
      <c r="Q61" s="5">
        <v>42</v>
      </c>
      <c r="R61" s="4" t="s">
        <v>74</v>
      </c>
      <c r="S61" s="4"/>
      <c r="T61" s="5">
        <v>112</v>
      </c>
      <c r="U61" s="6" t="s">
        <v>29</v>
      </c>
      <c r="V61" s="6">
        <v>1</v>
      </c>
      <c r="W61" s="4">
        <v>3</v>
      </c>
      <c r="X61" s="13" t="s">
        <v>65</v>
      </c>
      <c r="Y61" s="15" t="str">
        <f>VLOOKUP(A61,[2]CVD!$A:$W,23,FALSE)</f>
        <v>ความเสี่ยงต่ำ</v>
      </c>
      <c r="Z61" s="24" t="s">
        <v>359</v>
      </c>
      <c r="AA61" s="23" t="s">
        <v>356</v>
      </c>
      <c r="AB61" s="23" t="s">
        <v>356</v>
      </c>
      <c r="AC61" s="25" t="s">
        <v>359</v>
      </c>
      <c r="AD61" s="27">
        <v>0.5</v>
      </c>
    </row>
    <row r="62" spans="1:30" x14ac:dyDescent="0.45">
      <c r="A62" s="8">
        <v>480243</v>
      </c>
      <c r="B62" s="4" t="s">
        <v>21</v>
      </c>
      <c r="C62" s="4" t="s">
        <v>310</v>
      </c>
      <c r="D62" s="4" t="s">
        <v>311</v>
      </c>
      <c r="E62" s="4" t="str">
        <f>VLOOKUP(A62,[1]GSP!$B:$G,6,FALSE)</f>
        <v>คผ.D ปต.</v>
      </c>
      <c r="F62" s="4" t="s">
        <v>34</v>
      </c>
      <c r="G62" s="5">
        <v>107</v>
      </c>
      <c r="H62" s="6" t="s">
        <v>9</v>
      </c>
      <c r="I62" s="6">
        <v>1</v>
      </c>
      <c r="J62" s="5">
        <v>127</v>
      </c>
      <c r="K62" s="5">
        <v>75</v>
      </c>
      <c r="L62" s="4" t="s">
        <v>70</v>
      </c>
      <c r="M62" s="4"/>
      <c r="N62" s="5">
        <v>293</v>
      </c>
      <c r="O62" s="6" t="s">
        <v>43</v>
      </c>
      <c r="P62" s="6">
        <v>1</v>
      </c>
      <c r="Q62" s="5">
        <v>34</v>
      </c>
      <c r="R62" s="6" t="s">
        <v>28</v>
      </c>
      <c r="S62" s="6">
        <v>1</v>
      </c>
      <c r="T62" s="5">
        <v>105</v>
      </c>
      <c r="U62" s="6" t="s">
        <v>29</v>
      </c>
      <c r="V62" s="6">
        <v>1</v>
      </c>
      <c r="W62" s="4">
        <v>4</v>
      </c>
      <c r="X62" s="13" t="s">
        <v>65</v>
      </c>
      <c r="Y62" s="15" t="str">
        <f>VLOOKUP(A62,[2]CVD!$A:$W,23,FALSE)</f>
        <v>ความเสี่ยงต่ำ</v>
      </c>
      <c r="Z62" s="24" t="s">
        <v>359</v>
      </c>
      <c r="AA62" s="23" t="s">
        <v>356</v>
      </c>
      <c r="AB62" s="23" t="s">
        <v>356</v>
      </c>
      <c r="AC62" s="23" t="s">
        <v>355</v>
      </c>
      <c r="AD62" s="27">
        <v>0.75</v>
      </c>
    </row>
    <row r="63" spans="1:30" x14ac:dyDescent="0.45">
      <c r="A63" s="8">
        <v>480245</v>
      </c>
      <c r="B63" s="4" t="s">
        <v>21</v>
      </c>
      <c r="C63" s="4" t="s">
        <v>241</v>
      </c>
      <c r="D63" s="4" t="s">
        <v>242</v>
      </c>
      <c r="E63" s="4" t="str">
        <f>VLOOKUP(A63,[1]GSP!$B:$G,6,FALSE)</f>
        <v>บค.วบก.</v>
      </c>
      <c r="F63" s="4" t="s">
        <v>25</v>
      </c>
      <c r="G63" s="5">
        <v>90</v>
      </c>
      <c r="H63" s="6" t="s">
        <v>9</v>
      </c>
      <c r="I63" s="6">
        <v>1</v>
      </c>
      <c r="J63" s="5">
        <v>141</v>
      </c>
      <c r="K63" s="5">
        <v>90</v>
      </c>
      <c r="L63" s="6" t="s">
        <v>26</v>
      </c>
      <c r="M63" s="6">
        <v>1</v>
      </c>
      <c r="N63" s="5">
        <v>210</v>
      </c>
      <c r="O63" s="6" t="s">
        <v>43</v>
      </c>
      <c r="P63" s="6">
        <v>1</v>
      </c>
      <c r="Q63" s="5">
        <v>67</v>
      </c>
      <c r="R63" s="4" t="s">
        <v>82</v>
      </c>
      <c r="S63" s="4"/>
      <c r="T63" s="5">
        <v>90</v>
      </c>
      <c r="U63" s="4" t="s">
        <v>64</v>
      </c>
      <c r="V63" s="4"/>
      <c r="W63" s="4">
        <v>3</v>
      </c>
      <c r="X63" s="13" t="s">
        <v>65</v>
      </c>
      <c r="Y63" s="15" t="str">
        <f>VLOOKUP(A63,[2]CVD!$A:$W,23,FALSE)</f>
        <v>ความเสี่ยงต่ำ</v>
      </c>
      <c r="Z63" s="24" t="s">
        <v>359</v>
      </c>
      <c r="AA63" s="24" t="s">
        <v>358</v>
      </c>
      <c r="AB63" s="24" t="s">
        <v>358</v>
      </c>
      <c r="AC63" s="25" t="s">
        <v>359</v>
      </c>
      <c r="AD63" s="27">
        <v>0</v>
      </c>
    </row>
    <row r="64" spans="1:30" x14ac:dyDescent="0.45">
      <c r="A64" s="8">
        <v>490007</v>
      </c>
      <c r="B64" s="4" t="s">
        <v>21</v>
      </c>
      <c r="C64" s="4" t="s">
        <v>265</v>
      </c>
      <c r="D64" s="4" t="s">
        <v>266</v>
      </c>
      <c r="E64" s="4" t="str">
        <f>VLOOKUP(A64,[1]GSP!$B:$G,6,FALSE)</f>
        <v>ตร.วบก.</v>
      </c>
      <c r="F64" s="4" t="s">
        <v>25</v>
      </c>
      <c r="G64" s="5">
        <v>93</v>
      </c>
      <c r="H64" s="6" t="s">
        <v>9</v>
      </c>
      <c r="I64" s="6">
        <v>1</v>
      </c>
      <c r="J64" s="5">
        <v>142</v>
      </c>
      <c r="K64" s="5">
        <v>94</v>
      </c>
      <c r="L64" s="6" t="s">
        <v>26</v>
      </c>
      <c r="M64" s="6">
        <v>1</v>
      </c>
      <c r="N64" s="5">
        <v>150</v>
      </c>
      <c r="O64" s="6" t="s">
        <v>27</v>
      </c>
      <c r="P64" s="6">
        <v>1</v>
      </c>
      <c r="Q64" s="5">
        <v>53</v>
      </c>
      <c r="R64" s="4" t="s">
        <v>74</v>
      </c>
      <c r="S64" s="4"/>
      <c r="T64" s="5">
        <v>96</v>
      </c>
      <c r="U64" s="4" t="s">
        <v>64</v>
      </c>
      <c r="V64" s="4"/>
      <c r="W64" s="4">
        <v>3</v>
      </c>
      <c r="X64" s="13" t="s">
        <v>65</v>
      </c>
      <c r="Y64" s="15" t="str">
        <f>VLOOKUP(A64,[2]CVD!$A:$W,23,FALSE)</f>
        <v>ความเสี่ยงต่ำ</v>
      </c>
      <c r="Z64" s="23" t="s">
        <v>355</v>
      </c>
      <c r="AA64" s="24" t="s">
        <v>358</v>
      </c>
      <c r="AB64" s="24" t="s">
        <v>358</v>
      </c>
      <c r="AC64" s="23" t="s">
        <v>355</v>
      </c>
      <c r="AD64" s="27">
        <v>0.5</v>
      </c>
    </row>
    <row r="65" spans="1:30" x14ac:dyDescent="0.45">
      <c r="A65" s="8">
        <v>490025</v>
      </c>
      <c r="B65" s="4" t="s">
        <v>21</v>
      </c>
      <c r="C65" s="4" t="s">
        <v>251</v>
      </c>
      <c r="D65" s="4" t="s">
        <v>252</v>
      </c>
      <c r="E65" s="4" t="str">
        <f>VLOOKUP(A65,[1]GSP!$B:$G,6,FALSE)</f>
        <v>บค.วบก.</v>
      </c>
      <c r="F65" s="4" t="s">
        <v>25</v>
      </c>
      <c r="G65" s="5">
        <v>90</v>
      </c>
      <c r="H65" s="6" t="s">
        <v>9</v>
      </c>
      <c r="I65" s="6">
        <v>1</v>
      </c>
      <c r="J65" s="5">
        <v>138</v>
      </c>
      <c r="K65" s="5">
        <v>93</v>
      </c>
      <c r="L65" s="6" t="s">
        <v>26</v>
      </c>
      <c r="M65" s="6">
        <v>1</v>
      </c>
      <c r="N65" s="5">
        <v>155</v>
      </c>
      <c r="O65" s="6" t="s">
        <v>27</v>
      </c>
      <c r="P65" s="6">
        <v>1</v>
      </c>
      <c r="Q65" s="5">
        <v>49</v>
      </c>
      <c r="R65" s="4" t="s">
        <v>74</v>
      </c>
      <c r="S65" s="4"/>
      <c r="T65" s="5">
        <v>267</v>
      </c>
      <c r="U65" s="6" t="s">
        <v>58</v>
      </c>
      <c r="V65" s="6">
        <v>1</v>
      </c>
      <c r="W65" s="4">
        <v>4</v>
      </c>
      <c r="X65" s="13" t="s">
        <v>65</v>
      </c>
      <c r="Y65" s="15" t="str">
        <f>VLOOKUP(A65,[2]CVD!$A:$W,23,FALSE)</f>
        <v>ความเสี่ยงต่ำ</v>
      </c>
      <c r="Z65" s="24" t="s">
        <v>359</v>
      </c>
      <c r="AA65" s="23" t="s">
        <v>356</v>
      </c>
      <c r="AB65" s="24" t="s">
        <v>358</v>
      </c>
      <c r="AC65" s="25" t="s">
        <v>359</v>
      </c>
      <c r="AD65" s="27">
        <v>0.25</v>
      </c>
    </row>
    <row r="66" spans="1:30" x14ac:dyDescent="0.45">
      <c r="A66" s="8">
        <v>490031</v>
      </c>
      <c r="B66" s="4" t="s">
        <v>21</v>
      </c>
      <c r="C66" s="4" t="s">
        <v>188</v>
      </c>
      <c r="D66" s="4" t="s">
        <v>189</v>
      </c>
      <c r="E66" s="4" t="str">
        <f>VLOOKUP(A66,[1]GSP!$B:$G,6,FALSE)</f>
        <v>บฟ.วบก.</v>
      </c>
      <c r="F66" s="4" t="s">
        <v>25</v>
      </c>
      <c r="G66" s="5">
        <v>103</v>
      </c>
      <c r="H66" s="6" t="s">
        <v>9</v>
      </c>
      <c r="I66" s="6">
        <v>1</v>
      </c>
      <c r="J66" s="5">
        <v>133</v>
      </c>
      <c r="K66" s="5">
        <v>87</v>
      </c>
      <c r="L66" s="6" t="s">
        <v>35</v>
      </c>
      <c r="M66" s="6">
        <v>1</v>
      </c>
      <c r="N66" s="5">
        <v>244</v>
      </c>
      <c r="O66" s="6" t="s">
        <v>43</v>
      </c>
      <c r="P66" s="6">
        <v>1</v>
      </c>
      <c r="Q66" s="5">
        <v>45</v>
      </c>
      <c r="R66" s="4" t="s">
        <v>74</v>
      </c>
      <c r="S66" s="4"/>
      <c r="T66" s="5">
        <v>110</v>
      </c>
      <c r="U66" s="6" t="s">
        <v>29</v>
      </c>
      <c r="V66" s="6">
        <v>1</v>
      </c>
      <c r="W66" s="4">
        <v>4</v>
      </c>
      <c r="X66" s="13" t="s">
        <v>65</v>
      </c>
      <c r="Y66" s="15" t="str">
        <f>VLOOKUP(A66,[2]CVD!$A:$W,23,FALSE)</f>
        <v>ความเสี่ยงต่ำ</v>
      </c>
      <c r="Z66" s="24" t="s">
        <v>359</v>
      </c>
      <c r="AA66" s="24" t="s">
        <v>358</v>
      </c>
      <c r="AB66" s="24" t="s">
        <v>358</v>
      </c>
      <c r="AC66" s="25" t="s">
        <v>359</v>
      </c>
      <c r="AD66" s="27">
        <v>0</v>
      </c>
    </row>
    <row r="67" spans="1:30" x14ac:dyDescent="0.45">
      <c r="A67" s="8">
        <v>490032</v>
      </c>
      <c r="B67" s="4" t="s">
        <v>21</v>
      </c>
      <c r="C67" s="4" t="s">
        <v>219</v>
      </c>
      <c r="D67" s="4" t="s">
        <v>220</v>
      </c>
      <c r="E67" s="4" t="str">
        <f>VLOOKUP(A67,[1]GSP!$B:$G,6,FALSE)</f>
        <v>คผ.D ปต.</v>
      </c>
      <c r="F67" s="4" t="s">
        <v>34</v>
      </c>
      <c r="G67" s="5">
        <v>116</v>
      </c>
      <c r="H67" s="6" t="s">
        <v>9</v>
      </c>
      <c r="I67" s="6">
        <v>1</v>
      </c>
      <c r="J67" s="5">
        <v>121</v>
      </c>
      <c r="K67" s="5">
        <v>63</v>
      </c>
      <c r="L67" s="4" t="s">
        <v>70</v>
      </c>
      <c r="M67" s="4"/>
      <c r="N67" s="5">
        <v>149</v>
      </c>
      <c r="O67" s="4" t="s">
        <v>74</v>
      </c>
      <c r="P67" s="4"/>
      <c r="Q67" s="5">
        <v>35</v>
      </c>
      <c r="R67" s="6" t="s">
        <v>28</v>
      </c>
      <c r="S67" s="6">
        <v>1</v>
      </c>
      <c r="T67" s="5">
        <v>240</v>
      </c>
      <c r="U67" s="6" t="s">
        <v>58</v>
      </c>
      <c r="V67" s="6">
        <v>1</v>
      </c>
      <c r="W67" s="4">
        <v>3</v>
      </c>
      <c r="X67" s="13" t="s">
        <v>65</v>
      </c>
      <c r="Y67" s="15" t="str">
        <f>VLOOKUP(A67,[2]CVD!$A:$W,23,FALSE)</f>
        <v>ความเสี่ยงต่ำ</v>
      </c>
      <c r="Z67" s="24" t="s">
        <v>359</v>
      </c>
      <c r="AA67" s="24" t="s">
        <v>358</v>
      </c>
      <c r="AB67" s="24" t="s">
        <v>358</v>
      </c>
      <c r="AC67" s="25" t="s">
        <v>359</v>
      </c>
      <c r="AD67" s="27">
        <v>0</v>
      </c>
    </row>
    <row r="68" spans="1:30" x14ac:dyDescent="0.45">
      <c r="A68" s="8">
        <v>490039</v>
      </c>
      <c r="B68" s="4" t="s">
        <v>21</v>
      </c>
      <c r="C68" s="4" t="s">
        <v>210</v>
      </c>
      <c r="D68" s="4" t="s">
        <v>211</v>
      </c>
      <c r="E68" s="4" t="str">
        <f>VLOOKUP(A68,[1]GSP!$B:$G,6,FALSE)</f>
        <v>คผ.A ปล.</v>
      </c>
      <c r="F68" s="4" t="s">
        <v>34</v>
      </c>
      <c r="G68" s="5">
        <v>96</v>
      </c>
      <c r="H68" s="6" t="s">
        <v>9</v>
      </c>
      <c r="I68" s="6">
        <v>1</v>
      </c>
      <c r="J68" s="5">
        <v>120</v>
      </c>
      <c r="K68" s="5">
        <v>83</v>
      </c>
      <c r="L68" s="6" t="s">
        <v>35</v>
      </c>
      <c r="M68" s="6">
        <v>1</v>
      </c>
      <c r="N68" s="5">
        <v>388</v>
      </c>
      <c r="O68" s="6" t="s">
        <v>43</v>
      </c>
      <c r="P68" s="6">
        <v>1</v>
      </c>
      <c r="Q68" s="5">
        <v>45</v>
      </c>
      <c r="R68" s="4" t="s">
        <v>74</v>
      </c>
      <c r="S68" s="4"/>
      <c r="T68" s="5">
        <v>137</v>
      </c>
      <c r="U68" s="6" t="s">
        <v>58</v>
      </c>
      <c r="V68" s="6">
        <v>1</v>
      </c>
      <c r="W68" s="4">
        <v>4</v>
      </c>
      <c r="X68" s="13" t="s">
        <v>65</v>
      </c>
      <c r="Y68" s="15" t="str">
        <f>VLOOKUP(A68,[2]CVD!$A:$W,23,FALSE)</f>
        <v>ความเสี่ยงต่ำ</v>
      </c>
      <c r="Z68" s="24" t="s">
        <v>359</v>
      </c>
      <c r="AA68" s="24" t="s">
        <v>358</v>
      </c>
      <c r="AB68" s="24" t="s">
        <v>358</v>
      </c>
      <c r="AC68" s="23" t="s">
        <v>355</v>
      </c>
      <c r="AD68" s="27">
        <v>0.25</v>
      </c>
    </row>
    <row r="69" spans="1:30" x14ac:dyDescent="0.45">
      <c r="A69" s="8">
        <v>490040</v>
      </c>
      <c r="B69" s="4" t="s">
        <v>21</v>
      </c>
      <c r="C69" s="4" t="s">
        <v>297</v>
      </c>
      <c r="D69" s="4" t="s">
        <v>298</v>
      </c>
      <c r="E69" s="4" t="str">
        <f>VLOOKUP(A69,[1]GSP!$B:$G,6,FALSE)</f>
        <v>คผ.C ปต.</v>
      </c>
      <c r="F69" s="4" t="s">
        <v>34</v>
      </c>
      <c r="G69" s="5">
        <v>91</v>
      </c>
      <c r="H69" s="6" t="s">
        <v>9</v>
      </c>
      <c r="I69" s="6">
        <v>1</v>
      </c>
      <c r="J69" s="5">
        <v>127</v>
      </c>
      <c r="K69" s="5">
        <v>84</v>
      </c>
      <c r="L69" s="6" t="s">
        <v>35</v>
      </c>
      <c r="M69" s="6">
        <v>1</v>
      </c>
      <c r="N69" s="5">
        <v>351</v>
      </c>
      <c r="O69" s="6" t="s">
        <v>43</v>
      </c>
      <c r="P69" s="6">
        <v>1</v>
      </c>
      <c r="Q69" s="5">
        <v>50</v>
      </c>
      <c r="R69" s="4" t="s">
        <v>74</v>
      </c>
      <c r="S69" s="4"/>
      <c r="T69" s="5">
        <v>89</v>
      </c>
      <c r="U69" s="4" t="s">
        <v>64</v>
      </c>
      <c r="V69" s="4"/>
      <c r="W69" s="4">
        <v>3</v>
      </c>
      <c r="X69" s="13" t="s">
        <v>65</v>
      </c>
      <c r="Y69" s="15" t="str">
        <f>VLOOKUP(A69,[2]CVD!$A:$W,23,FALSE)</f>
        <v>ความเสี่ยงต่ำ</v>
      </c>
      <c r="Z69" s="24" t="s">
        <v>359</v>
      </c>
      <c r="AA69" s="24" t="s">
        <v>358</v>
      </c>
      <c r="AB69" s="24" t="s">
        <v>358</v>
      </c>
      <c r="AC69" s="25" t="s">
        <v>359</v>
      </c>
      <c r="AD69" s="27">
        <v>0</v>
      </c>
    </row>
    <row r="70" spans="1:30" x14ac:dyDescent="0.45">
      <c r="A70" s="8">
        <v>490041</v>
      </c>
      <c r="B70" s="4" t="s">
        <v>21</v>
      </c>
      <c r="C70" s="4" t="s">
        <v>71</v>
      </c>
      <c r="D70" s="4" t="s">
        <v>72</v>
      </c>
      <c r="E70" s="4" t="str">
        <f>VLOOKUP(A70,[1]GSP!$B:$G,6,FALSE)</f>
        <v>คผ.B ปล.</v>
      </c>
      <c r="F70" s="4" t="s">
        <v>34</v>
      </c>
      <c r="G70" s="5">
        <v>101</v>
      </c>
      <c r="H70" s="6" t="s">
        <v>9</v>
      </c>
      <c r="I70" s="6">
        <v>1</v>
      </c>
      <c r="J70" s="5">
        <v>122</v>
      </c>
      <c r="K70" s="5">
        <v>86</v>
      </c>
      <c r="L70" s="6" t="s">
        <v>35</v>
      </c>
      <c r="M70" s="6">
        <v>1</v>
      </c>
      <c r="N70" s="5">
        <v>526</v>
      </c>
      <c r="O70" s="6" t="s">
        <v>48</v>
      </c>
      <c r="P70" s="6">
        <v>1</v>
      </c>
      <c r="Q70" s="5">
        <v>42</v>
      </c>
      <c r="R70" s="4" t="s">
        <v>74</v>
      </c>
      <c r="S70" s="4"/>
      <c r="T70" s="5">
        <v>95</v>
      </c>
      <c r="U70" s="4" t="s">
        <v>64</v>
      </c>
      <c r="V70" s="4"/>
      <c r="W70" s="4">
        <v>3</v>
      </c>
      <c r="X70" s="13" t="s">
        <v>65</v>
      </c>
      <c r="Y70" s="15" t="str">
        <f>VLOOKUP(A70,[2]CVD!$A:$W,23,FALSE)</f>
        <v>ความเสี่ยงต่ำ</v>
      </c>
      <c r="Z70" s="24" t="s">
        <v>359</v>
      </c>
      <c r="AA70" s="24" t="s">
        <v>358</v>
      </c>
      <c r="AB70" s="24" t="s">
        <v>358</v>
      </c>
      <c r="AC70" s="25" t="s">
        <v>359</v>
      </c>
      <c r="AD70" s="27">
        <v>0</v>
      </c>
    </row>
    <row r="71" spans="1:30" x14ac:dyDescent="0.45">
      <c r="A71" s="8">
        <v>490045</v>
      </c>
      <c r="B71" s="4" t="s">
        <v>21</v>
      </c>
      <c r="C71" s="4" t="s">
        <v>304</v>
      </c>
      <c r="D71" s="4" t="s">
        <v>305</v>
      </c>
      <c r="E71" s="4" t="str">
        <f>VLOOKUP(A71,[1]GSP!$B:$G,6,FALSE)</f>
        <v>บฟ.วบก.</v>
      </c>
      <c r="F71" s="4" t="s">
        <v>25</v>
      </c>
      <c r="G71" s="5">
        <v>84</v>
      </c>
      <c r="H71" s="4" t="s">
        <v>171</v>
      </c>
      <c r="I71" s="4"/>
      <c r="J71" s="5">
        <v>147</v>
      </c>
      <c r="K71" s="5">
        <v>96</v>
      </c>
      <c r="L71" s="6" t="s">
        <v>26</v>
      </c>
      <c r="M71" s="6">
        <v>1</v>
      </c>
      <c r="N71" s="5">
        <v>437</v>
      </c>
      <c r="O71" s="6" t="s">
        <v>43</v>
      </c>
      <c r="P71" s="6">
        <v>1</v>
      </c>
      <c r="Q71" s="5">
        <v>43</v>
      </c>
      <c r="R71" s="4" t="s">
        <v>74</v>
      </c>
      <c r="S71" s="4"/>
      <c r="T71" s="5">
        <v>238</v>
      </c>
      <c r="U71" s="6" t="s">
        <v>58</v>
      </c>
      <c r="V71" s="6">
        <v>1</v>
      </c>
      <c r="W71" s="4">
        <v>3</v>
      </c>
      <c r="X71" s="13" t="s">
        <v>65</v>
      </c>
      <c r="Y71" s="15" t="str">
        <f>VLOOKUP(A71,[2]CVD!$A:$W,23,FALSE)</f>
        <v>ความเสี่ยงต่ำ</v>
      </c>
      <c r="Z71" s="24" t="s">
        <v>359</v>
      </c>
      <c r="AA71" s="24" t="s">
        <v>358</v>
      </c>
      <c r="AB71" s="24" t="s">
        <v>358</v>
      </c>
      <c r="AC71" s="25" t="s">
        <v>359</v>
      </c>
      <c r="AD71" s="27">
        <v>0</v>
      </c>
    </row>
    <row r="72" spans="1:30" x14ac:dyDescent="0.45">
      <c r="A72" s="8">
        <v>490046</v>
      </c>
      <c r="B72" s="4" t="s">
        <v>21</v>
      </c>
      <c r="C72" s="4" t="s">
        <v>158</v>
      </c>
      <c r="D72" s="4" t="s">
        <v>159</v>
      </c>
      <c r="E72" s="4" t="str">
        <f>VLOOKUP(A72,[1]GSP!$B:$G,6,FALSE)</f>
        <v>บฟ.วบก.</v>
      </c>
      <c r="F72" s="4" t="s">
        <v>25</v>
      </c>
      <c r="G72" s="5">
        <v>139</v>
      </c>
      <c r="H72" s="6" t="s">
        <v>9</v>
      </c>
      <c r="I72" s="6">
        <v>1</v>
      </c>
      <c r="J72" s="5">
        <v>139</v>
      </c>
      <c r="K72" s="5">
        <v>88</v>
      </c>
      <c r="L72" s="6" t="s">
        <v>35</v>
      </c>
      <c r="M72" s="6">
        <v>1</v>
      </c>
      <c r="N72" s="5">
        <v>202</v>
      </c>
      <c r="O72" s="6" t="s">
        <v>43</v>
      </c>
      <c r="P72" s="6">
        <v>1</v>
      </c>
      <c r="Q72" s="5">
        <v>43</v>
      </c>
      <c r="R72" s="4" t="s">
        <v>74</v>
      </c>
      <c r="S72" s="4"/>
      <c r="T72" s="5">
        <v>120</v>
      </c>
      <c r="U72" s="6" t="s">
        <v>29</v>
      </c>
      <c r="V72" s="6">
        <v>1</v>
      </c>
      <c r="W72" s="4">
        <v>4</v>
      </c>
      <c r="X72" s="13" t="s">
        <v>65</v>
      </c>
      <c r="Y72" s="15" t="str">
        <f>VLOOKUP(A72,[2]CVD!$A:$W,23,FALSE)</f>
        <v>ความเสี่ยงต่ำ</v>
      </c>
      <c r="Z72" s="24" t="s">
        <v>359</v>
      </c>
      <c r="AA72" s="24" t="s">
        <v>358</v>
      </c>
      <c r="AB72" s="24" t="s">
        <v>358</v>
      </c>
      <c r="AC72" s="25" t="s">
        <v>359</v>
      </c>
      <c r="AD72" s="27">
        <v>0</v>
      </c>
    </row>
    <row r="73" spans="1:30" x14ac:dyDescent="0.45">
      <c r="A73" s="8">
        <v>490047</v>
      </c>
      <c r="B73" s="4" t="s">
        <v>21</v>
      </c>
      <c r="C73" s="4" t="s">
        <v>217</v>
      </c>
      <c r="D73" s="4" t="s">
        <v>218</v>
      </c>
      <c r="E73" s="4" t="str">
        <f>VLOOKUP(A73,[1]GSP!$B:$G,6,FALSE)</f>
        <v>คผ.A ปจ.</v>
      </c>
      <c r="F73" s="4" t="s">
        <v>34</v>
      </c>
      <c r="G73" s="5">
        <v>89</v>
      </c>
      <c r="H73" s="4" t="s">
        <v>171</v>
      </c>
      <c r="I73" s="4"/>
      <c r="J73" s="5">
        <v>133</v>
      </c>
      <c r="K73" s="5">
        <v>89</v>
      </c>
      <c r="L73" s="6" t="s">
        <v>35</v>
      </c>
      <c r="M73" s="6">
        <v>1</v>
      </c>
      <c r="N73" s="5">
        <v>368</v>
      </c>
      <c r="O73" s="6" t="s">
        <v>43</v>
      </c>
      <c r="P73" s="6">
        <v>1</v>
      </c>
      <c r="Q73" s="5">
        <v>33</v>
      </c>
      <c r="R73" s="6" t="s">
        <v>28</v>
      </c>
      <c r="S73" s="6">
        <v>1</v>
      </c>
      <c r="T73" s="5">
        <v>228</v>
      </c>
      <c r="U73" s="6" t="s">
        <v>58</v>
      </c>
      <c r="V73" s="6">
        <v>1</v>
      </c>
      <c r="W73" s="4">
        <v>4</v>
      </c>
      <c r="X73" s="13" t="s">
        <v>65</v>
      </c>
      <c r="Y73" s="15" t="str">
        <f>VLOOKUP(A73,[2]CVD!$A:$W,23,FALSE)</f>
        <v>ความเสี่ยงต่ำ</v>
      </c>
      <c r="Z73" s="24" t="s">
        <v>359</v>
      </c>
      <c r="AA73" s="24" t="s">
        <v>358</v>
      </c>
      <c r="AB73" s="24" t="s">
        <v>358</v>
      </c>
      <c r="AC73" s="25" t="s">
        <v>359</v>
      </c>
      <c r="AD73" s="27">
        <v>0</v>
      </c>
    </row>
    <row r="74" spans="1:30" x14ac:dyDescent="0.45">
      <c r="A74" s="8">
        <v>490048</v>
      </c>
      <c r="B74" s="4" t="s">
        <v>21</v>
      </c>
      <c r="C74" s="4" t="s">
        <v>206</v>
      </c>
      <c r="D74" s="4" t="s">
        <v>207</v>
      </c>
      <c r="E74" s="4" t="str">
        <f>VLOOKUP(A74,[1]GSP!$B:$G,6,FALSE)</f>
        <v>บง.วบก.</v>
      </c>
      <c r="F74" s="4" t="s">
        <v>25</v>
      </c>
      <c r="G74" s="5">
        <v>99</v>
      </c>
      <c r="H74" s="6" t="s">
        <v>9</v>
      </c>
      <c r="I74" s="6">
        <v>1</v>
      </c>
      <c r="J74" s="5">
        <v>114</v>
      </c>
      <c r="K74" s="5">
        <v>74</v>
      </c>
      <c r="L74" s="4" t="s">
        <v>70</v>
      </c>
      <c r="M74" s="4"/>
      <c r="N74" s="5">
        <v>763</v>
      </c>
      <c r="O74" s="6" t="s">
        <v>48</v>
      </c>
      <c r="P74" s="6">
        <v>1</v>
      </c>
      <c r="Q74" s="5">
        <v>38</v>
      </c>
      <c r="R74" s="6" t="s">
        <v>28</v>
      </c>
      <c r="S74" s="6">
        <v>1</v>
      </c>
      <c r="T74" s="5">
        <v>305</v>
      </c>
      <c r="U74" s="6" t="s">
        <v>58</v>
      </c>
      <c r="V74" s="6">
        <v>1</v>
      </c>
      <c r="W74" s="4">
        <v>4</v>
      </c>
      <c r="X74" s="13" t="s">
        <v>65</v>
      </c>
      <c r="Y74" s="10" t="str">
        <f>VLOOKUP(A74,[2]CVD!$A:$W,23,FALSE)</f>
        <v>ความเสี่ยงปานกลาง</v>
      </c>
      <c r="Z74" s="24" t="s">
        <v>359</v>
      </c>
      <c r="AA74" s="24" t="s">
        <v>358</v>
      </c>
      <c r="AB74" s="24" t="s">
        <v>358</v>
      </c>
      <c r="AC74" s="25" t="s">
        <v>359</v>
      </c>
      <c r="AD74" s="27">
        <v>0</v>
      </c>
    </row>
    <row r="75" spans="1:30" x14ac:dyDescent="0.45">
      <c r="A75" s="8">
        <v>490052</v>
      </c>
      <c r="B75" s="4" t="s">
        <v>21</v>
      </c>
      <c r="C75" s="4" t="s">
        <v>299</v>
      </c>
      <c r="D75" s="4" t="s">
        <v>300</v>
      </c>
      <c r="E75" s="4" t="str">
        <f>VLOOKUP(A75,[1]GSP!$B:$G,6,FALSE)</f>
        <v>คผ.B ปล.</v>
      </c>
      <c r="F75" s="4" t="s">
        <v>34</v>
      </c>
      <c r="G75" s="5">
        <v>111</v>
      </c>
      <c r="H75" s="6" t="s">
        <v>9</v>
      </c>
      <c r="I75" s="6">
        <v>1</v>
      </c>
      <c r="J75" s="5">
        <v>137</v>
      </c>
      <c r="K75" s="5">
        <v>86</v>
      </c>
      <c r="L75" s="6" t="s">
        <v>35</v>
      </c>
      <c r="M75" s="6">
        <v>1</v>
      </c>
      <c r="N75" s="5">
        <v>142</v>
      </c>
      <c r="O75" s="4" t="s">
        <v>74</v>
      </c>
      <c r="P75" s="4"/>
      <c r="Q75" s="5">
        <v>37</v>
      </c>
      <c r="R75" s="6" t="s">
        <v>28</v>
      </c>
      <c r="S75" s="6">
        <v>1</v>
      </c>
      <c r="T75" s="5">
        <v>91</v>
      </c>
      <c r="U75" s="4" t="s">
        <v>64</v>
      </c>
      <c r="V75" s="4"/>
      <c r="W75" s="4">
        <v>3</v>
      </c>
      <c r="X75" s="13" t="s">
        <v>65</v>
      </c>
      <c r="Y75" s="15" t="str">
        <f>VLOOKUP(A75,[2]CVD!$A:$W,23,FALSE)</f>
        <v>ความเสี่ยงต่ำ</v>
      </c>
      <c r="Z75" s="24" t="s">
        <v>359</v>
      </c>
      <c r="AA75" s="24" t="s">
        <v>358</v>
      </c>
      <c r="AB75" s="24" t="s">
        <v>358</v>
      </c>
      <c r="AC75" s="25" t="s">
        <v>359</v>
      </c>
      <c r="AD75" s="27">
        <v>0</v>
      </c>
    </row>
    <row r="76" spans="1:30" x14ac:dyDescent="0.45">
      <c r="A76" s="8">
        <v>490053</v>
      </c>
      <c r="B76" s="4" t="s">
        <v>21</v>
      </c>
      <c r="C76" s="4" t="s">
        <v>165</v>
      </c>
      <c r="D76" s="4" t="s">
        <v>166</v>
      </c>
      <c r="E76" s="4" t="str">
        <f>VLOOKUP(A76,[1]GSP!$B:$G,6,FALSE)</f>
        <v>คผ.C ปล.</v>
      </c>
      <c r="F76" s="4" t="s">
        <v>34</v>
      </c>
      <c r="G76" s="5">
        <v>94</v>
      </c>
      <c r="H76" s="6" t="s">
        <v>9</v>
      </c>
      <c r="I76" s="6">
        <v>1</v>
      </c>
      <c r="J76" s="5">
        <v>117</v>
      </c>
      <c r="K76" s="5">
        <v>74</v>
      </c>
      <c r="L76" s="4" t="s">
        <v>70</v>
      </c>
      <c r="M76" s="4"/>
      <c r="N76" s="5">
        <v>178</v>
      </c>
      <c r="O76" s="6" t="s">
        <v>27</v>
      </c>
      <c r="P76" s="6">
        <v>1</v>
      </c>
      <c r="Q76" s="5">
        <v>38</v>
      </c>
      <c r="R76" s="6" t="s">
        <v>28</v>
      </c>
      <c r="S76" s="6">
        <v>1</v>
      </c>
      <c r="T76" s="5">
        <v>98</v>
      </c>
      <c r="U76" s="4" t="s">
        <v>64</v>
      </c>
      <c r="V76" s="4"/>
      <c r="W76" s="4">
        <v>3</v>
      </c>
      <c r="X76" s="13" t="s">
        <v>65</v>
      </c>
      <c r="Y76" s="15" t="str">
        <f>VLOOKUP(A76,[2]CVD!$A:$W,23,FALSE)</f>
        <v>ความเสี่ยงต่ำ</v>
      </c>
      <c r="Z76" s="24" t="s">
        <v>359</v>
      </c>
      <c r="AA76" s="23" t="s">
        <v>356</v>
      </c>
      <c r="AB76" s="23" t="s">
        <v>356</v>
      </c>
      <c r="AC76" s="25" t="s">
        <v>359</v>
      </c>
      <c r="AD76" s="27">
        <v>0.5</v>
      </c>
    </row>
    <row r="77" spans="1:30" x14ac:dyDescent="0.45">
      <c r="A77" s="8">
        <v>490058</v>
      </c>
      <c r="B77" s="4" t="s">
        <v>21</v>
      </c>
      <c r="C77" s="4" t="s">
        <v>225</v>
      </c>
      <c r="D77" s="4" t="s">
        <v>226</v>
      </c>
      <c r="E77" s="4" t="str">
        <f>VLOOKUP(A77,[1]GSP!$B:$G,6,FALSE)</f>
        <v>รส.บรก.</v>
      </c>
      <c r="F77" s="4" t="s">
        <v>39</v>
      </c>
      <c r="G77" s="5">
        <v>91</v>
      </c>
      <c r="H77" s="6" t="s">
        <v>9</v>
      </c>
      <c r="I77" s="6">
        <v>1</v>
      </c>
      <c r="J77" s="5">
        <v>110</v>
      </c>
      <c r="K77" s="5">
        <v>75</v>
      </c>
      <c r="L77" s="4" t="s">
        <v>70</v>
      </c>
      <c r="M77" s="4"/>
      <c r="N77" s="5">
        <v>775</v>
      </c>
      <c r="O77" s="6" t="s">
        <v>48</v>
      </c>
      <c r="P77" s="6">
        <v>1</v>
      </c>
      <c r="Q77" s="5">
        <v>38</v>
      </c>
      <c r="R77" s="6" t="s">
        <v>28</v>
      </c>
      <c r="S77" s="6">
        <v>1</v>
      </c>
      <c r="T77" s="5">
        <v>95</v>
      </c>
      <c r="U77" s="4" t="s">
        <v>64</v>
      </c>
      <c r="V77" s="4"/>
      <c r="W77" s="4">
        <v>3</v>
      </c>
      <c r="X77" s="13" t="s">
        <v>65</v>
      </c>
      <c r="Y77" s="15" t="str">
        <f>VLOOKUP(A77,[2]CVD!$A:$W,23,FALSE)</f>
        <v>ความเสี่ยงต่ำ</v>
      </c>
      <c r="Z77" s="24" t="s">
        <v>359</v>
      </c>
      <c r="AA77" s="24" t="s">
        <v>358</v>
      </c>
      <c r="AB77" s="24" t="s">
        <v>358</v>
      </c>
      <c r="AC77" s="25" t="s">
        <v>359</v>
      </c>
      <c r="AD77" s="27">
        <v>0</v>
      </c>
    </row>
    <row r="78" spans="1:30" x14ac:dyDescent="0.45">
      <c r="A78" s="8">
        <v>490071</v>
      </c>
      <c r="B78" s="4" t="s">
        <v>21</v>
      </c>
      <c r="C78" s="4" t="s">
        <v>132</v>
      </c>
      <c r="D78" s="4" t="s">
        <v>133</v>
      </c>
      <c r="E78" s="4" t="str">
        <f>VLOOKUP(A78,[1]GSP!$B:$G,6,FALSE)</f>
        <v>คผ.B ปล.</v>
      </c>
      <c r="F78" s="4" t="s">
        <v>34</v>
      </c>
      <c r="G78" s="5">
        <v>94</v>
      </c>
      <c r="H78" s="6" t="s">
        <v>9</v>
      </c>
      <c r="I78" s="6">
        <v>1</v>
      </c>
      <c r="J78" s="5">
        <v>106</v>
      </c>
      <c r="K78" s="5">
        <v>75</v>
      </c>
      <c r="L78" s="4" t="s">
        <v>70</v>
      </c>
      <c r="M78" s="4"/>
      <c r="N78" s="5">
        <v>246</v>
      </c>
      <c r="O78" s="6" t="s">
        <v>43</v>
      </c>
      <c r="P78" s="6">
        <v>1</v>
      </c>
      <c r="Q78" s="5">
        <v>33</v>
      </c>
      <c r="R78" s="6" t="s">
        <v>28</v>
      </c>
      <c r="S78" s="6">
        <v>1</v>
      </c>
      <c r="T78" s="5">
        <v>92</v>
      </c>
      <c r="U78" s="4" t="s">
        <v>64</v>
      </c>
      <c r="V78" s="4"/>
      <c r="W78" s="4">
        <v>3</v>
      </c>
      <c r="X78" s="13" t="s">
        <v>65</v>
      </c>
      <c r="Y78" s="15" t="str">
        <f>VLOOKUP(A78,[2]CVD!$A:$W,23,FALSE)</f>
        <v>ความเสี่ยงต่ำ</v>
      </c>
      <c r="Z78" s="24" t="s">
        <v>359</v>
      </c>
      <c r="AA78" s="23" t="s">
        <v>356</v>
      </c>
      <c r="AB78" s="24" t="s">
        <v>358</v>
      </c>
      <c r="AC78" s="25" t="s">
        <v>359</v>
      </c>
      <c r="AD78" s="27">
        <v>0.25</v>
      </c>
    </row>
    <row r="79" spans="1:30" x14ac:dyDescent="0.45">
      <c r="A79" s="8">
        <v>490147</v>
      </c>
      <c r="B79" s="4" t="s">
        <v>21</v>
      </c>
      <c r="C79" s="4" t="s">
        <v>277</v>
      </c>
      <c r="D79" s="4" t="s">
        <v>278</v>
      </c>
      <c r="E79" s="4" t="str">
        <f>VLOOKUP(A79,[1]GSP!$B:$G,6,FALSE)</f>
        <v>ปภ.ผยก.</v>
      </c>
      <c r="F79" s="4" t="s">
        <v>39</v>
      </c>
      <c r="G79" s="5">
        <v>94</v>
      </c>
      <c r="H79" s="6" t="s">
        <v>9</v>
      </c>
      <c r="I79" s="6">
        <v>1</v>
      </c>
      <c r="J79" s="5">
        <v>126</v>
      </c>
      <c r="K79" s="5">
        <v>82</v>
      </c>
      <c r="L79" s="6" t="s">
        <v>35</v>
      </c>
      <c r="M79" s="6">
        <v>1</v>
      </c>
      <c r="N79" s="5">
        <v>110</v>
      </c>
      <c r="O79" s="4" t="s">
        <v>74</v>
      </c>
      <c r="P79" s="4"/>
      <c r="Q79" s="5">
        <v>35</v>
      </c>
      <c r="R79" s="6" t="s">
        <v>28</v>
      </c>
      <c r="S79" s="6">
        <v>1</v>
      </c>
      <c r="T79" s="5">
        <v>112</v>
      </c>
      <c r="U79" s="6" t="s">
        <v>29</v>
      </c>
      <c r="V79" s="6">
        <v>1</v>
      </c>
      <c r="W79" s="4">
        <v>4</v>
      </c>
      <c r="X79" s="13" t="s">
        <v>65</v>
      </c>
      <c r="Y79" s="15" t="str">
        <f>VLOOKUP(A79,[2]CVD!$A:$W,23,FALSE)</f>
        <v>ความเสี่ยงต่ำ</v>
      </c>
      <c r="Z79" s="24" t="s">
        <v>359</v>
      </c>
      <c r="AA79" s="24" t="s">
        <v>358</v>
      </c>
      <c r="AB79" s="24" t="s">
        <v>358</v>
      </c>
      <c r="AC79" s="23" t="s">
        <v>355</v>
      </c>
      <c r="AD79" s="27">
        <v>0.25</v>
      </c>
    </row>
    <row r="80" spans="1:30" x14ac:dyDescent="0.45">
      <c r="A80" s="8">
        <v>490148</v>
      </c>
      <c r="B80" s="4" t="s">
        <v>106</v>
      </c>
      <c r="C80" s="4" t="s">
        <v>122</v>
      </c>
      <c r="D80" s="4" t="s">
        <v>123</v>
      </c>
      <c r="E80" s="4" t="str">
        <f>VLOOKUP(A80,[1]GSP!$B:$G,6,FALSE)</f>
        <v>คพ.ทผก.</v>
      </c>
      <c r="F80" s="4" t="s">
        <v>39</v>
      </c>
      <c r="G80" s="5">
        <v>88</v>
      </c>
      <c r="H80" s="6" t="s">
        <v>9</v>
      </c>
      <c r="I80" s="6">
        <v>1</v>
      </c>
      <c r="J80" s="5">
        <v>109</v>
      </c>
      <c r="K80" s="5">
        <v>62</v>
      </c>
      <c r="L80" s="4" t="s">
        <v>70</v>
      </c>
      <c r="M80" s="4"/>
      <c r="N80" s="5">
        <v>185</v>
      </c>
      <c r="O80" s="6" t="s">
        <v>27</v>
      </c>
      <c r="P80" s="6">
        <v>1</v>
      </c>
      <c r="Q80" s="5">
        <v>38</v>
      </c>
      <c r="R80" s="6" t="s">
        <v>28</v>
      </c>
      <c r="S80" s="6">
        <v>1</v>
      </c>
      <c r="T80" s="5">
        <v>94</v>
      </c>
      <c r="U80" s="4" t="s">
        <v>64</v>
      </c>
      <c r="V80" s="4"/>
      <c r="W80" s="4">
        <v>3</v>
      </c>
      <c r="X80" s="13" t="s">
        <v>65</v>
      </c>
      <c r="Y80" s="15" t="str">
        <f>VLOOKUP(A80,[2]CVD!$A:$W,23,FALSE)</f>
        <v>ความเสี่ยงต่ำ</v>
      </c>
      <c r="Z80" s="23" t="s">
        <v>355</v>
      </c>
      <c r="AA80" s="23" t="s">
        <v>356</v>
      </c>
      <c r="AB80" s="24" t="s">
        <v>358</v>
      </c>
      <c r="AC80" s="23" t="s">
        <v>355</v>
      </c>
      <c r="AD80" s="27">
        <v>0.75</v>
      </c>
    </row>
    <row r="81" spans="1:30" x14ac:dyDescent="0.45">
      <c r="A81" s="8">
        <v>500103</v>
      </c>
      <c r="B81" s="4" t="s">
        <v>21</v>
      </c>
      <c r="C81" s="4" t="s">
        <v>234</v>
      </c>
      <c r="D81" s="4" t="s">
        <v>235</v>
      </c>
      <c r="E81" s="4" t="str">
        <f>VLOOKUP(A81,[1]GSP!$B:$G,6,FALSE)</f>
        <v>ผ.คผ.D ปผ.</v>
      </c>
      <c r="F81" s="4" t="s">
        <v>34</v>
      </c>
      <c r="G81" s="5">
        <v>93</v>
      </c>
      <c r="H81" s="6" t="s">
        <v>9</v>
      </c>
      <c r="I81" s="6">
        <v>1</v>
      </c>
      <c r="J81" s="5">
        <v>127</v>
      </c>
      <c r="K81" s="5">
        <v>76</v>
      </c>
      <c r="L81" s="4" t="s">
        <v>70</v>
      </c>
      <c r="M81" s="4"/>
      <c r="N81" s="5">
        <v>434</v>
      </c>
      <c r="O81" s="6" t="s">
        <v>43</v>
      </c>
      <c r="P81" s="6">
        <v>1</v>
      </c>
      <c r="Q81" s="5">
        <v>35</v>
      </c>
      <c r="R81" s="6" t="s">
        <v>28</v>
      </c>
      <c r="S81" s="6">
        <v>1</v>
      </c>
      <c r="T81" s="5">
        <v>99</v>
      </c>
      <c r="U81" s="4" t="s">
        <v>64</v>
      </c>
      <c r="V81" s="4"/>
      <c r="W81" s="4">
        <v>3</v>
      </c>
      <c r="X81" s="13" t="s">
        <v>65</v>
      </c>
      <c r="Y81" s="15" t="str">
        <f>VLOOKUP(A81,[2]CVD!$A:$W,23,FALSE)</f>
        <v>ความเสี่ยงต่ำ</v>
      </c>
      <c r="Z81" s="23" t="s">
        <v>355</v>
      </c>
      <c r="AA81" s="23" t="s">
        <v>356</v>
      </c>
      <c r="AB81" s="24" t="s">
        <v>358</v>
      </c>
      <c r="AC81" s="25" t="s">
        <v>359</v>
      </c>
      <c r="AD81" s="27">
        <v>0.5</v>
      </c>
    </row>
    <row r="82" spans="1:30" x14ac:dyDescent="0.45">
      <c r="A82" s="8">
        <v>510001</v>
      </c>
      <c r="B82" s="4" t="s">
        <v>75</v>
      </c>
      <c r="C82" s="4" t="s">
        <v>76</v>
      </c>
      <c r="D82" s="4" t="s">
        <v>77</v>
      </c>
      <c r="E82" s="4" t="str">
        <f>VLOOKUP(A82,[1]GSP!$B:$G,6,FALSE)</f>
        <v>กผ.ทผก.</v>
      </c>
      <c r="F82" s="4" t="s">
        <v>39</v>
      </c>
      <c r="G82" s="5">
        <v>81</v>
      </c>
      <c r="H82" s="6" t="s">
        <v>9</v>
      </c>
      <c r="I82" s="6">
        <v>1</v>
      </c>
      <c r="J82" s="5">
        <v>125</v>
      </c>
      <c r="K82" s="5">
        <v>83</v>
      </c>
      <c r="L82" s="6" t="s">
        <v>35</v>
      </c>
      <c r="M82" s="6">
        <v>1</v>
      </c>
      <c r="N82" s="5">
        <v>134</v>
      </c>
      <c r="O82" s="4" t="s">
        <v>74</v>
      </c>
      <c r="P82" s="4"/>
      <c r="Q82" s="5">
        <v>46</v>
      </c>
      <c r="R82" s="6" t="s">
        <v>28</v>
      </c>
      <c r="S82" s="6">
        <v>1</v>
      </c>
      <c r="T82" s="5">
        <v>97</v>
      </c>
      <c r="U82" s="4" t="s">
        <v>64</v>
      </c>
      <c r="V82" s="4"/>
      <c r="W82" s="4">
        <v>3</v>
      </c>
      <c r="X82" s="13" t="s">
        <v>65</v>
      </c>
      <c r="Y82" s="15" t="str">
        <f>VLOOKUP(A82,[2]CVD!$A:$W,23,FALSE)</f>
        <v>ความเสี่ยงต่ำ</v>
      </c>
      <c r="Z82" s="23" t="s">
        <v>355</v>
      </c>
      <c r="AA82" s="26" t="s">
        <v>356</v>
      </c>
      <c r="AB82" s="26" t="s">
        <v>356</v>
      </c>
      <c r="AC82" s="25" t="s">
        <v>359</v>
      </c>
      <c r="AD82" s="27">
        <v>0.75</v>
      </c>
    </row>
    <row r="83" spans="1:30" x14ac:dyDescent="0.45">
      <c r="A83" s="8">
        <v>510093</v>
      </c>
      <c r="B83" s="4" t="s">
        <v>21</v>
      </c>
      <c r="C83" s="4" t="s">
        <v>271</v>
      </c>
      <c r="D83" s="4" t="s">
        <v>272</v>
      </c>
      <c r="E83" s="4" t="str">
        <f>VLOOKUP(A83,[1]GSP!$B:$G,6,FALSE)</f>
        <v>ผ.ปก.C ปก.</v>
      </c>
      <c r="F83" s="4" t="s">
        <v>34</v>
      </c>
      <c r="G83" s="5">
        <v>91</v>
      </c>
      <c r="H83" s="6" t="s">
        <v>9</v>
      </c>
      <c r="I83" s="6">
        <v>1</v>
      </c>
      <c r="J83" s="5">
        <v>143</v>
      </c>
      <c r="K83" s="5">
        <v>83</v>
      </c>
      <c r="L83" s="6" t="s">
        <v>26</v>
      </c>
      <c r="M83" s="6">
        <v>1</v>
      </c>
      <c r="N83" s="5">
        <v>367</v>
      </c>
      <c r="O83" s="6" t="s">
        <v>43</v>
      </c>
      <c r="P83" s="6">
        <v>1</v>
      </c>
      <c r="Q83" s="5">
        <v>45</v>
      </c>
      <c r="R83" s="4" t="s">
        <v>74</v>
      </c>
      <c r="S83" s="4"/>
      <c r="T83" s="5">
        <v>102</v>
      </c>
      <c r="U83" s="6" t="s">
        <v>29</v>
      </c>
      <c r="V83" s="6">
        <v>1</v>
      </c>
      <c r="W83" s="4">
        <v>4</v>
      </c>
      <c r="X83" s="13" t="s">
        <v>65</v>
      </c>
      <c r="Y83" s="15" t="str">
        <f>VLOOKUP(A83,[2]CVD!$A:$W,23,FALSE)</f>
        <v>ความเสี่ยงต่ำ</v>
      </c>
      <c r="Z83" s="24" t="s">
        <v>359</v>
      </c>
      <c r="AA83" s="23" t="s">
        <v>356</v>
      </c>
      <c r="AB83" s="23" t="s">
        <v>356</v>
      </c>
      <c r="AC83" s="25" t="s">
        <v>359</v>
      </c>
      <c r="AD83" s="27">
        <v>0.5</v>
      </c>
    </row>
    <row r="84" spans="1:30" x14ac:dyDescent="0.45">
      <c r="A84" s="8">
        <v>510142</v>
      </c>
      <c r="B84" s="4" t="s">
        <v>21</v>
      </c>
      <c r="C84" s="4" t="s">
        <v>172</v>
      </c>
      <c r="D84" s="4" t="s">
        <v>249</v>
      </c>
      <c r="E84" s="4" t="str">
        <f>VLOOKUP(A84,[1]GSP!$B:$G,6,FALSE)</f>
        <v>ผ.ปก.B ปก.</v>
      </c>
      <c r="F84" s="4" t="s">
        <v>34</v>
      </c>
      <c r="G84" s="5">
        <v>110</v>
      </c>
      <c r="H84" s="6" t="s">
        <v>9</v>
      </c>
      <c r="I84" s="6">
        <v>1</v>
      </c>
      <c r="J84" s="5">
        <v>160</v>
      </c>
      <c r="K84" s="5">
        <v>89</v>
      </c>
      <c r="L84" s="6" t="s">
        <v>47</v>
      </c>
      <c r="M84" s="6">
        <v>1</v>
      </c>
      <c r="N84" s="5">
        <v>963</v>
      </c>
      <c r="O84" s="6" t="s">
        <v>48</v>
      </c>
      <c r="P84" s="6">
        <v>1</v>
      </c>
      <c r="Q84" s="5">
        <v>43</v>
      </c>
      <c r="R84" s="4" t="s">
        <v>74</v>
      </c>
      <c r="S84" s="4"/>
      <c r="T84" s="5">
        <v>83</v>
      </c>
      <c r="U84" s="4" t="s">
        <v>64</v>
      </c>
      <c r="V84" s="4"/>
      <c r="W84" s="4">
        <v>3</v>
      </c>
      <c r="X84" s="13" t="s">
        <v>65</v>
      </c>
      <c r="Y84" s="15" t="str">
        <f>VLOOKUP(A84,[2]CVD!$A:$W,23,FALSE)</f>
        <v>ความเสี่ยงต่ำ</v>
      </c>
      <c r="Z84" s="24" t="s">
        <v>359</v>
      </c>
      <c r="AA84" s="24" t="s">
        <v>358</v>
      </c>
      <c r="AB84" s="24" t="s">
        <v>358</v>
      </c>
      <c r="AC84" s="23" t="s">
        <v>355</v>
      </c>
      <c r="AD84" s="27">
        <v>0.25</v>
      </c>
    </row>
    <row r="85" spans="1:30" x14ac:dyDescent="0.45">
      <c r="A85" s="8">
        <v>530034</v>
      </c>
      <c r="B85" s="4" t="s">
        <v>21</v>
      </c>
      <c r="C85" s="4" t="s">
        <v>89</v>
      </c>
      <c r="D85" s="4" t="s">
        <v>90</v>
      </c>
      <c r="E85" s="4" t="str">
        <f>VLOOKUP(A85,[1]GSP!$B:$G,6,FALSE)</f>
        <v>บฟ.วบก.</v>
      </c>
      <c r="F85" s="4" t="s">
        <v>25</v>
      </c>
      <c r="G85" s="5">
        <v>97</v>
      </c>
      <c r="H85" s="6" t="s">
        <v>9</v>
      </c>
      <c r="I85" s="6">
        <v>1</v>
      </c>
      <c r="J85" s="5">
        <v>131</v>
      </c>
      <c r="K85" s="5">
        <v>82</v>
      </c>
      <c r="L85" s="6" t="s">
        <v>35</v>
      </c>
      <c r="M85" s="6">
        <v>1</v>
      </c>
      <c r="N85" s="5">
        <v>463</v>
      </c>
      <c r="O85" s="6" t="s">
        <v>43</v>
      </c>
      <c r="P85" s="6">
        <v>1</v>
      </c>
      <c r="Q85" s="5">
        <v>41</v>
      </c>
      <c r="R85" s="4" t="s">
        <v>74</v>
      </c>
      <c r="S85" s="4"/>
      <c r="T85" s="5">
        <v>91</v>
      </c>
      <c r="U85" s="4" t="s">
        <v>64</v>
      </c>
      <c r="V85" s="4"/>
      <c r="W85" s="4">
        <v>3</v>
      </c>
      <c r="X85" s="13" t="s">
        <v>65</v>
      </c>
      <c r="Y85" s="15" t="str">
        <f>VLOOKUP(A85,[2]CVD!$A:$W,23,FALSE)</f>
        <v>ความเสี่ยงต่ำ</v>
      </c>
      <c r="Z85" s="23" t="s">
        <v>355</v>
      </c>
      <c r="AA85" s="26" t="s">
        <v>356</v>
      </c>
      <c r="AB85" s="26" t="s">
        <v>356</v>
      </c>
      <c r="AC85" s="23" t="s">
        <v>355</v>
      </c>
      <c r="AD85" s="27">
        <v>1</v>
      </c>
    </row>
    <row r="86" spans="1:30" x14ac:dyDescent="0.45">
      <c r="A86" s="8">
        <v>530084</v>
      </c>
      <c r="B86" s="4" t="s">
        <v>21</v>
      </c>
      <c r="C86" s="4" t="s">
        <v>91</v>
      </c>
      <c r="D86" s="4" t="s">
        <v>92</v>
      </c>
      <c r="E86" s="4" t="str">
        <f>VLOOKUP(A86,[1]GSP!$B:$G,6,FALSE)</f>
        <v>ผ.คผ.C ปผ.</v>
      </c>
      <c r="F86" s="4" t="s">
        <v>34</v>
      </c>
      <c r="G86" s="5">
        <v>99</v>
      </c>
      <c r="H86" s="6" t="s">
        <v>9</v>
      </c>
      <c r="I86" s="6">
        <v>1</v>
      </c>
      <c r="J86" s="5">
        <v>123</v>
      </c>
      <c r="K86" s="5">
        <v>77</v>
      </c>
      <c r="L86" s="4" t="s">
        <v>70</v>
      </c>
      <c r="M86" s="4"/>
      <c r="N86" s="5">
        <v>595</v>
      </c>
      <c r="O86" s="6" t="s">
        <v>48</v>
      </c>
      <c r="P86" s="6">
        <v>1</v>
      </c>
      <c r="Q86" s="5">
        <v>33</v>
      </c>
      <c r="R86" s="6" t="s">
        <v>28</v>
      </c>
      <c r="S86" s="6">
        <v>1</v>
      </c>
      <c r="T86" s="5">
        <v>108</v>
      </c>
      <c r="U86" s="6" t="s">
        <v>29</v>
      </c>
      <c r="V86" s="6">
        <v>1</v>
      </c>
      <c r="W86" s="4">
        <v>4</v>
      </c>
      <c r="X86" s="13" t="s">
        <v>65</v>
      </c>
      <c r="Y86" s="15" t="str">
        <f>VLOOKUP(A86,[2]CVD!$A:$W,23,FALSE)</f>
        <v>ความเสี่ยงต่ำ</v>
      </c>
      <c r="Z86" s="24" t="s">
        <v>359</v>
      </c>
      <c r="AA86" s="23" t="s">
        <v>356</v>
      </c>
      <c r="AB86" s="23" t="s">
        <v>356</v>
      </c>
      <c r="AC86" s="23" t="s">
        <v>355</v>
      </c>
      <c r="AD86" s="27">
        <v>0.75</v>
      </c>
    </row>
    <row r="87" spans="1:30" x14ac:dyDescent="0.45">
      <c r="A87" s="8">
        <v>530110</v>
      </c>
      <c r="B87" s="4" t="s">
        <v>21</v>
      </c>
      <c r="C87" s="4" t="s">
        <v>308</v>
      </c>
      <c r="D87" s="4" t="s">
        <v>309</v>
      </c>
      <c r="E87" s="4" t="str">
        <f>VLOOKUP(A87,[1]GSP!$B:$G,6,FALSE)</f>
        <v>วก.วบก.</v>
      </c>
      <c r="F87" s="4" t="s">
        <v>25</v>
      </c>
      <c r="G87" s="5">
        <v>97</v>
      </c>
      <c r="H87" s="6" t="s">
        <v>9</v>
      </c>
      <c r="I87" s="6">
        <v>1</v>
      </c>
      <c r="J87" s="5">
        <v>130</v>
      </c>
      <c r="K87" s="5">
        <v>70</v>
      </c>
      <c r="L87" s="6" t="s">
        <v>35</v>
      </c>
      <c r="M87" s="6">
        <v>1</v>
      </c>
      <c r="N87" s="5">
        <v>169</v>
      </c>
      <c r="O87" s="6" t="s">
        <v>27</v>
      </c>
      <c r="P87" s="6">
        <v>1</v>
      </c>
      <c r="Q87" s="5">
        <v>61</v>
      </c>
      <c r="R87" s="4" t="s">
        <v>82</v>
      </c>
      <c r="S87" s="4"/>
      <c r="T87" s="5">
        <v>92</v>
      </c>
      <c r="U87" s="4" t="s">
        <v>64</v>
      </c>
      <c r="V87" s="4"/>
      <c r="W87" s="4">
        <v>3</v>
      </c>
      <c r="X87" s="13" t="s">
        <v>65</v>
      </c>
      <c r="Y87" s="15" t="str">
        <f>VLOOKUP(A87,[2]CVD!$A:$W,23,FALSE)</f>
        <v>ความเสี่ยงต่ำ</v>
      </c>
      <c r="Z87" s="23" t="s">
        <v>355</v>
      </c>
      <c r="AA87" s="24" t="s">
        <v>358</v>
      </c>
      <c r="AB87" s="24" t="s">
        <v>358</v>
      </c>
      <c r="AC87" s="23" t="s">
        <v>355</v>
      </c>
      <c r="AD87" s="27">
        <v>0.5</v>
      </c>
    </row>
    <row r="88" spans="1:30" x14ac:dyDescent="0.45">
      <c r="A88" s="8">
        <v>530152</v>
      </c>
      <c r="B88" s="4" t="s">
        <v>21</v>
      </c>
      <c r="C88" s="4" t="s">
        <v>40</v>
      </c>
      <c r="D88" s="4" t="s">
        <v>41</v>
      </c>
      <c r="E88" s="4" t="str">
        <f>VLOOKUP(A88,[1]GSP!$B:$G,6,FALSE)</f>
        <v>ผ.คผ.D ปผ.</v>
      </c>
      <c r="F88" s="4" t="s">
        <v>34</v>
      </c>
      <c r="G88" s="5">
        <v>120</v>
      </c>
      <c r="H88" s="6" t="s">
        <v>9</v>
      </c>
      <c r="I88" s="6">
        <v>1</v>
      </c>
      <c r="J88" s="5">
        <v>137</v>
      </c>
      <c r="K88" s="5">
        <v>84</v>
      </c>
      <c r="L88" s="6" t="s">
        <v>35</v>
      </c>
      <c r="M88" s="6">
        <v>1</v>
      </c>
      <c r="N88" s="5">
        <v>257</v>
      </c>
      <c r="O88" s="6" t="s">
        <v>43</v>
      </c>
      <c r="P88" s="6">
        <v>1</v>
      </c>
      <c r="Q88" s="5">
        <v>37</v>
      </c>
      <c r="R88" s="6" t="s">
        <v>28</v>
      </c>
      <c r="S88" s="6">
        <v>1</v>
      </c>
      <c r="T88" s="5">
        <v>104</v>
      </c>
      <c r="U88" s="6" t="s">
        <v>29</v>
      </c>
      <c r="V88" s="6">
        <v>1</v>
      </c>
      <c r="W88" s="4">
        <v>5</v>
      </c>
      <c r="X88" s="12" t="s">
        <v>30</v>
      </c>
      <c r="Y88" s="15" t="str">
        <f>VLOOKUP(A88,[2]CVD!$A:$W,23,FALSE)</f>
        <v>ความเสี่ยงต่ำ</v>
      </c>
      <c r="Z88" s="24" t="s">
        <v>359</v>
      </c>
      <c r="AA88" s="23" t="s">
        <v>356</v>
      </c>
      <c r="AB88" s="24" t="s">
        <v>358</v>
      </c>
      <c r="AC88" s="25" t="s">
        <v>359</v>
      </c>
      <c r="AD88" s="27">
        <v>0.25</v>
      </c>
    </row>
    <row r="89" spans="1:30" x14ac:dyDescent="0.45">
      <c r="A89" s="8">
        <v>540071</v>
      </c>
      <c r="B89" s="4" t="s">
        <v>21</v>
      </c>
      <c r="C89" s="4" t="s">
        <v>153</v>
      </c>
      <c r="D89" s="4" t="s">
        <v>154</v>
      </c>
      <c r="E89" s="4" t="str">
        <f>VLOOKUP(A89,[1]GSP!$B:$G,6,FALSE)</f>
        <v>คผ.B ปต.</v>
      </c>
      <c r="F89" s="4" t="s">
        <v>34</v>
      </c>
      <c r="G89" s="5">
        <v>93</v>
      </c>
      <c r="H89" s="6" t="s">
        <v>9</v>
      </c>
      <c r="I89" s="6">
        <v>1</v>
      </c>
      <c r="J89" s="5">
        <v>130</v>
      </c>
      <c r="K89" s="5">
        <v>80</v>
      </c>
      <c r="L89" s="6" t="s">
        <v>35</v>
      </c>
      <c r="M89" s="6">
        <v>1</v>
      </c>
      <c r="N89" s="5">
        <v>125</v>
      </c>
      <c r="O89" s="4" t="s">
        <v>74</v>
      </c>
      <c r="P89" s="4"/>
      <c r="Q89" s="5">
        <v>48</v>
      </c>
      <c r="R89" s="4" t="s">
        <v>74</v>
      </c>
      <c r="S89" s="4"/>
      <c r="T89" s="5">
        <v>102</v>
      </c>
      <c r="U89" s="6" t="s">
        <v>29</v>
      </c>
      <c r="V89" s="6">
        <v>1</v>
      </c>
      <c r="W89" s="4">
        <v>3</v>
      </c>
      <c r="X89" s="13" t="s">
        <v>65</v>
      </c>
      <c r="Y89" s="15" t="str">
        <f>VLOOKUP(A89,[2]CVD!$A:$W,23,FALSE)</f>
        <v>ความเสี่ยงต่ำ</v>
      </c>
      <c r="Z89" s="24" t="s">
        <v>359</v>
      </c>
      <c r="AA89" s="24" t="s">
        <v>358</v>
      </c>
      <c r="AB89" s="24" t="s">
        <v>358</v>
      </c>
      <c r="AC89" s="23" t="s">
        <v>355</v>
      </c>
      <c r="AD89" s="27">
        <v>0.25</v>
      </c>
    </row>
    <row r="90" spans="1:30" x14ac:dyDescent="0.45">
      <c r="A90" s="8">
        <v>540208</v>
      </c>
      <c r="B90" s="4" t="s">
        <v>21</v>
      </c>
      <c r="C90" s="4" t="s">
        <v>212</v>
      </c>
      <c r="D90" s="4" t="s">
        <v>213</v>
      </c>
      <c r="E90" s="4" t="str">
        <f>VLOOKUP(A90,[1]GSP!$B:$G,6,FALSE)</f>
        <v>พย.บรก.</v>
      </c>
      <c r="F90" s="4" t="s">
        <v>39</v>
      </c>
      <c r="G90" s="5">
        <v>112</v>
      </c>
      <c r="H90" s="6" t="s">
        <v>9</v>
      </c>
      <c r="I90" s="6">
        <v>1</v>
      </c>
      <c r="J90" s="5">
        <v>147</v>
      </c>
      <c r="K90" s="5">
        <v>88</v>
      </c>
      <c r="L90" s="6" t="s">
        <v>26</v>
      </c>
      <c r="M90" s="6">
        <v>1</v>
      </c>
      <c r="N90" s="5">
        <v>166</v>
      </c>
      <c r="O90" s="6" t="s">
        <v>27</v>
      </c>
      <c r="P90" s="6">
        <v>1</v>
      </c>
      <c r="Q90" s="5">
        <v>42</v>
      </c>
      <c r="R90" s="4" t="s">
        <v>74</v>
      </c>
      <c r="S90" s="4"/>
      <c r="T90" s="5">
        <v>106</v>
      </c>
      <c r="U90" s="6" t="s">
        <v>29</v>
      </c>
      <c r="V90" s="6">
        <v>1</v>
      </c>
      <c r="W90" s="4">
        <v>4</v>
      </c>
      <c r="X90" s="13" t="s">
        <v>65</v>
      </c>
      <c r="Y90" s="15" t="str">
        <f>VLOOKUP(A90,[2]CVD!$A:$W,23,FALSE)</f>
        <v>ความเสี่ยงต่ำ</v>
      </c>
      <c r="Z90" s="23" t="s">
        <v>355</v>
      </c>
      <c r="AA90" s="23" t="s">
        <v>356</v>
      </c>
      <c r="AB90" s="23" t="s">
        <v>356</v>
      </c>
      <c r="AC90" s="23" t="s">
        <v>355</v>
      </c>
      <c r="AD90" s="27">
        <v>1</v>
      </c>
    </row>
    <row r="91" spans="1:30" x14ac:dyDescent="0.45">
      <c r="A91" s="8">
        <v>540228</v>
      </c>
      <c r="B91" s="4" t="s">
        <v>21</v>
      </c>
      <c r="C91" s="4" t="s">
        <v>98</v>
      </c>
      <c r="D91" s="4" t="s">
        <v>99</v>
      </c>
      <c r="E91" s="4" t="str">
        <f>VLOOKUP(A91,[1]GSP!$B:$G,6,FALSE)</f>
        <v>ตร.วบก.</v>
      </c>
      <c r="F91" s="4" t="s">
        <v>25</v>
      </c>
      <c r="G91" s="5">
        <v>97</v>
      </c>
      <c r="H91" s="6" t="s">
        <v>9</v>
      </c>
      <c r="I91" s="6">
        <v>1</v>
      </c>
      <c r="J91" s="5">
        <v>132</v>
      </c>
      <c r="K91" s="5">
        <v>75</v>
      </c>
      <c r="L91" s="6" t="s">
        <v>35</v>
      </c>
      <c r="M91" s="6">
        <v>1</v>
      </c>
      <c r="N91" s="5">
        <v>157</v>
      </c>
      <c r="O91" s="6" t="s">
        <v>27</v>
      </c>
      <c r="P91" s="6">
        <v>1</v>
      </c>
      <c r="Q91" s="5">
        <v>34</v>
      </c>
      <c r="R91" s="6" t="s">
        <v>28</v>
      </c>
      <c r="S91" s="6">
        <v>1</v>
      </c>
      <c r="T91" s="5">
        <v>93</v>
      </c>
      <c r="U91" s="4" t="s">
        <v>64</v>
      </c>
      <c r="V91" s="4"/>
      <c r="W91" s="4">
        <v>4</v>
      </c>
      <c r="X91" s="13" t="s">
        <v>65</v>
      </c>
      <c r="Y91" s="15" t="str">
        <f>VLOOKUP(A91,[2]CVD!$A:$W,23,FALSE)</f>
        <v>ความเสี่ยงต่ำ</v>
      </c>
      <c r="Z91" s="23" t="s">
        <v>355</v>
      </c>
      <c r="AA91" s="23" t="s">
        <v>356</v>
      </c>
      <c r="AB91" s="24" t="s">
        <v>358</v>
      </c>
      <c r="AC91" s="25" t="s">
        <v>359</v>
      </c>
      <c r="AD91" s="27">
        <v>0.5</v>
      </c>
    </row>
    <row r="92" spans="1:30" x14ac:dyDescent="0.45">
      <c r="A92" s="8">
        <v>540230</v>
      </c>
      <c r="B92" s="4" t="s">
        <v>21</v>
      </c>
      <c r="C92" s="4" t="s">
        <v>283</v>
      </c>
      <c r="D92" s="4" t="s">
        <v>284</v>
      </c>
      <c r="E92" s="4" t="str">
        <f>VLOOKUP(A92,[1]GSP!$B:$G,6,FALSE)</f>
        <v>คผ.C ปจ.</v>
      </c>
      <c r="F92" s="4" t="s">
        <v>34</v>
      </c>
      <c r="G92" s="5">
        <v>113</v>
      </c>
      <c r="H92" s="6" t="s">
        <v>9</v>
      </c>
      <c r="I92" s="6">
        <v>1</v>
      </c>
      <c r="J92" s="5">
        <v>142</v>
      </c>
      <c r="K92" s="5">
        <v>93</v>
      </c>
      <c r="L92" s="6" t="s">
        <v>26</v>
      </c>
      <c r="M92" s="6">
        <v>1</v>
      </c>
      <c r="N92" s="5">
        <v>116</v>
      </c>
      <c r="O92" s="4" t="s">
        <v>74</v>
      </c>
      <c r="P92" s="4"/>
      <c r="Q92" s="5">
        <v>44</v>
      </c>
      <c r="R92" s="4" t="s">
        <v>74</v>
      </c>
      <c r="S92" s="4"/>
      <c r="T92" s="5">
        <v>109</v>
      </c>
      <c r="U92" s="6" t="s">
        <v>29</v>
      </c>
      <c r="V92" s="6">
        <v>1</v>
      </c>
      <c r="W92" s="4">
        <v>3</v>
      </c>
      <c r="X92" s="13" t="s">
        <v>65</v>
      </c>
      <c r="Y92" s="15" t="str">
        <f>VLOOKUP(A92,[2]CVD!$A:$W,23,FALSE)</f>
        <v>ความเสี่ยงต่ำ</v>
      </c>
      <c r="Z92" s="24" t="s">
        <v>359</v>
      </c>
      <c r="AA92" s="24" t="s">
        <v>358</v>
      </c>
      <c r="AB92" s="24" t="s">
        <v>358</v>
      </c>
      <c r="AC92" s="25" t="s">
        <v>359</v>
      </c>
      <c r="AD92" s="27">
        <v>0</v>
      </c>
    </row>
    <row r="93" spans="1:30" x14ac:dyDescent="0.45">
      <c r="A93" s="8">
        <v>540243</v>
      </c>
      <c r="B93" s="4" t="s">
        <v>21</v>
      </c>
      <c r="C93" s="4" t="s">
        <v>243</v>
      </c>
      <c r="D93" s="4" t="s">
        <v>244</v>
      </c>
      <c r="E93" s="4" t="str">
        <f>VLOOKUP(A93,[1]GSP!$B:$G,6,FALSE)</f>
        <v>ผ.ปก.D ปก.</v>
      </c>
      <c r="F93" s="4" t="s">
        <v>34</v>
      </c>
      <c r="G93" s="5">
        <v>104</v>
      </c>
      <c r="H93" s="6" t="s">
        <v>9</v>
      </c>
      <c r="I93" s="6">
        <v>1</v>
      </c>
      <c r="J93" s="5">
        <v>123</v>
      </c>
      <c r="K93" s="5">
        <v>82</v>
      </c>
      <c r="L93" s="6" t="s">
        <v>35</v>
      </c>
      <c r="M93" s="6">
        <v>1</v>
      </c>
      <c r="N93" s="5">
        <v>150</v>
      </c>
      <c r="O93" s="6" t="s">
        <v>27</v>
      </c>
      <c r="P93" s="6">
        <v>1</v>
      </c>
      <c r="Q93" s="5">
        <v>21</v>
      </c>
      <c r="R93" s="6" t="s">
        <v>28</v>
      </c>
      <c r="S93" s="6">
        <v>1</v>
      </c>
      <c r="T93" s="5">
        <v>87</v>
      </c>
      <c r="U93" s="4" t="s">
        <v>64</v>
      </c>
      <c r="V93" s="4"/>
      <c r="W93" s="4">
        <v>4</v>
      </c>
      <c r="X93" s="13" t="s">
        <v>65</v>
      </c>
      <c r="Y93" s="15" t="str">
        <f>VLOOKUP(A93,[2]CVD!$A:$W,23,FALSE)</f>
        <v>ความเสี่ยงต่ำ</v>
      </c>
      <c r="Z93" s="24" t="s">
        <v>359</v>
      </c>
      <c r="AA93" s="24" t="s">
        <v>358</v>
      </c>
      <c r="AB93" s="24" t="s">
        <v>358</v>
      </c>
      <c r="AC93" s="25" t="s">
        <v>359</v>
      </c>
      <c r="AD93" s="27">
        <v>0</v>
      </c>
    </row>
    <row r="94" spans="1:30" x14ac:dyDescent="0.45">
      <c r="A94" s="8">
        <v>540327</v>
      </c>
      <c r="B94" s="4" t="s">
        <v>21</v>
      </c>
      <c r="C94" s="4" t="s">
        <v>289</v>
      </c>
      <c r="D94" s="4" t="s">
        <v>290</v>
      </c>
      <c r="E94" s="4" t="str">
        <f>VLOOKUP(A94,[1]GSP!$B:$G,6,FALSE)</f>
        <v>ผ.คผ.D ปผ.</v>
      </c>
      <c r="F94" s="4" t="s">
        <v>34</v>
      </c>
      <c r="G94" s="5">
        <v>98</v>
      </c>
      <c r="H94" s="6" t="s">
        <v>9</v>
      </c>
      <c r="I94" s="6">
        <v>1</v>
      </c>
      <c r="J94" s="5">
        <v>136</v>
      </c>
      <c r="K94" s="5">
        <v>90</v>
      </c>
      <c r="L94" s="6" t="s">
        <v>26</v>
      </c>
      <c r="M94" s="6">
        <v>1</v>
      </c>
      <c r="N94" s="5">
        <v>396</v>
      </c>
      <c r="O94" s="6" t="s">
        <v>43</v>
      </c>
      <c r="P94" s="6">
        <v>1</v>
      </c>
      <c r="Q94" s="5">
        <v>31</v>
      </c>
      <c r="R94" s="6" t="s">
        <v>28</v>
      </c>
      <c r="S94" s="6">
        <v>1</v>
      </c>
      <c r="T94" s="5">
        <v>84</v>
      </c>
      <c r="U94" s="4" t="s">
        <v>64</v>
      </c>
      <c r="V94" s="4"/>
      <c r="W94" s="4">
        <v>4</v>
      </c>
      <c r="X94" s="13" t="s">
        <v>65</v>
      </c>
      <c r="Y94" s="15" t="str">
        <f>VLOOKUP(A94,[2]CVD!$A:$W,23,FALSE)</f>
        <v>ความเสี่ยงต่ำ</v>
      </c>
      <c r="Z94" s="24" t="s">
        <v>359</v>
      </c>
      <c r="AA94" s="23" t="s">
        <v>356</v>
      </c>
      <c r="AB94" s="23" t="s">
        <v>356</v>
      </c>
      <c r="AC94" s="25" t="s">
        <v>359</v>
      </c>
      <c r="AD94" s="27">
        <v>0.5</v>
      </c>
    </row>
    <row r="95" spans="1:30" x14ac:dyDescent="0.45">
      <c r="A95" s="8">
        <v>540329</v>
      </c>
      <c r="B95" s="4" t="s">
        <v>21</v>
      </c>
      <c r="C95" s="4" t="s">
        <v>113</v>
      </c>
      <c r="D95" s="4" t="s">
        <v>114</v>
      </c>
      <c r="E95" s="4" t="str">
        <f>VLOOKUP(A95,[1]GSP!$B:$G,6,FALSE)</f>
        <v>ผ.ปก.D ปอ.</v>
      </c>
      <c r="F95" s="4" t="s">
        <v>34</v>
      </c>
      <c r="G95" s="5">
        <v>127</v>
      </c>
      <c r="H95" s="6" t="s">
        <v>9</v>
      </c>
      <c r="I95" s="6">
        <v>1</v>
      </c>
      <c r="J95" s="5">
        <v>145</v>
      </c>
      <c r="K95" s="5">
        <v>82</v>
      </c>
      <c r="L95" s="6" t="s">
        <v>26</v>
      </c>
      <c r="M95" s="6">
        <v>1</v>
      </c>
      <c r="N95" s="5">
        <v>201</v>
      </c>
      <c r="O95" s="6" t="s">
        <v>43</v>
      </c>
      <c r="P95" s="6">
        <v>1</v>
      </c>
      <c r="Q95" s="5">
        <v>43</v>
      </c>
      <c r="R95" s="4" t="s">
        <v>74</v>
      </c>
      <c r="S95" s="4"/>
      <c r="T95" s="5">
        <v>99</v>
      </c>
      <c r="U95" s="4" t="s">
        <v>64</v>
      </c>
      <c r="V95" s="4"/>
      <c r="W95" s="4">
        <v>3</v>
      </c>
      <c r="X95" s="13" t="s">
        <v>65</v>
      </c>
      <c r="Y95" s="15" t="str">
        <f>VLOOKUP(A95,[2]CVD!$A:$W,23,FALSE)</f>
        <v>ความเสี่ยงต่ำ</v>
      </c>
      <c r="Z95" s="24" t="s">
        <v>359</v>
      </c>
      <c r="AA95" s="24" t="s">
        <v>358</v>
      </c>
      <c r="AB95" s="24" t="s">
        <v>358</v>
      </c>
      <c r="AC95" s="25" t="s">
        <v>359</v>
      </c>
      <c r="AD95" s="27">
        <v>0</v>
      </c>
    </row>
    <row r="96" spans="1:30" x14ac:dyDescent="0.45">
      <c r="A96" s="8">
        <v>540365</v>
      </c>
      <c r="B96" s="4" t="s">
        <v>21</v>
      </c>
      <c r="C96" s="4" t="s">
        <v>36</v>
      </c>
      <c r="D96" s="4" t="s">
        <v>37</v>
      </c>
      <c r="E96" s="4" t="str">
        <f>VLOOKUP(A96,[1]GSP!$B:$G,6,FALSE)</f>
        <v>คพ.ทผก.</v>
      </c>
      <c r="F96" s="4" t="s">
        <v>39</v>
      </c>
      <c r="G96" s="5">
        <v>152</v>
      </c>
      <c r="H96" s="6" t="s">
        <v>9</v>
      </c>
      <c r="I96" s="6">
        <v>1</v>
      </c>
      <c r="J96" s="5">
        <v>136</v>
      </c>
      <c r="K96" s="5">
        <v>70</v>
      </c>
      <c r="L96" s="6" t="s">
        <v>35</v>
      </c>
      <c r="M96" s="6">
        <v>1</v>
      </c>
      <c r="N96" s="5">
        <v>175</v>
      </c>
      <c r="O96" s="6" t="s">
        <v>27</v>
      </c>
      <c r="P96" s="6">
        <v>1</v>
      </c>
      <c r="Q96" s="5">
        <v>37</v>
      </c>
      <c r="R96" s="6" t="s">
        <v>28</v>
      </c>
      <c r="S96" s="6">
        <v>1</v>
      </c>
      <c r="T96" s="5">
        <v>111</v>
      </c>
      <c r="U96" s="6" t="s">
        <v>29</v>
      </c>
      <c r="V96" s="6">
        <v>1</v>
      </c>
      <c r="W96" s="4">
        <v>5</v>
      </c>
      <c r="X96" s="12" t="s">
        <v>30</v>
      </c>
      <c r="Y96" s="15" t="str">
        <f>VLOOKUP(A96,[2]CVD!$A:$W,23,FALSE)</f>
        <v>ความเสี่ยงต่ำ</v>
      </c>
      <c r="Z96" s="23" t="s">
        <v>355</v>
      </c>
      <c r="AA96" s="23" t="s">
        <v>356</v>
      </c>
      <c r="AB96" s="24" t="s">
        <v>358</v>
      </c>
      <c r="AC96" s="23" t="s">
        <v>355</v>
      </c>
      <c r="AD96" s="27">
        <v>0.75</v>
      </c>
    </row>
    <row r="97" spans="1:30" x14ac:dyDescent="0.45">
      <c r="A97" s="8">
        <v>550033</v>
      </c>
      <c r="B97" s="4" t="s">
        <v>21</v>
      </c>
      <c r="C97" s="4" t="s">
        <v>94</v>
      </c>
      <c r="D97" s="4" t="s">
        <v>95</v>
      </c>
      <c r="E97" s="4" t="str">
        <f>VLOOKUP(A97,[1]GSP!$B:$G,6,FALSE)</f>
        <v>คผ.C ปจ.</v>
      </c>
      <c r="F97" s="4" t="s">
        <v>34</v>
      </c>
      <c r="G97" s="5">
        <v>92</v>
      </c>
      <c r="H97" s="6" t="s">
        <v>9</v>
      </c>
      <c r="I97" s="6">
        <v>1</v>
      </c>
      <c r="J97" s="5">
        <v>134</v>
      </c>
      <c r="K97" s="5">
        <v>69</v>
      </c>
      <c r="L97" s="6" t="s">
        <v>35</v>
      </c>
      <c r="M97" s="6">
        <v>1</v>
      </c>
      <c r="N97" s="5">
        <v>154</v>
      </c>
      <c r="O97" s="6" t="s">
        <v>27</v>
      </c>
      <c r="P97" s="6">
        <v>1</v>
      </c>
      <c r="Q97" s="5">
        <v>34</v>
      </c>
      <c r="R97" s="6" t="s">
        <v>28</v>
      </c>
      <c r="S97" s="6">
        <v>1</v>
      </c>
      <c r="T97" s="5">
        <v>77</v>
      </c>
      <c r="U97" s="4" t="s">
        <v>64</v>
      </c>
      <c r="V97" s="4"/>
      <c r="W97" s="4">
        <v>4</v>
      </c>
      <c r="X97" s="13" t="s">
        <v>65</v>
      </c>
      <c r="Y97" s="15" t="str">
        <f>VLOOKUP(A97,[2]CVD!$A:$W,23,FALSE)</f>
        <v>ความเสี่ยงต่ำ</v>
      </c>
      <c r="Z97" s="24" t="s">
        <v>359</v>
      </c>
      <c r="AA97" s="24" t="s">
        <v>358</v>
      </c>
      <c r="AB97" s="24" t="s">
        <v>358</v>
      </c>
      <c r="AC97" s="25" t="s">
        <v>359</v>
      </c>
      <c r="AD97" s="27">
        <v>0</v>
      </c>
    </row>
    <row r="98" spans="1:30" x14ac:dyDescent="0.45">
      <c r="A98" s="8">
        <v>550057</v>
      </c>
      <c r="B98" s="4" t="s">
        <v>106</v>
      </c>
      <c r="C98" s="4" t="s">
        <v>280</v>
      </c>
      <c r="D98" s="4" t="s">
        <v>281</v>
      </c>
      <c r="E98" s="4" t="str">
        <f>VLOOKUP(A98,[1]GSP!$B:$G,6,FALSE)</f>
        <v>พน.บรก.</v>
      </c>
      <c r="F98" s="4" t="s">
        <v>39</v>
      </c>
      <c r="G98" s="5">
        <v>94</v>
      </c>
      <c r="H98" s="6" t="s">
        <v>9</v>
      </c>
      <c r="I98" s="6">
        <v>1</v>
      </c>
      <c r="J98" s="5">
        <v>135</v>
      </c>
      <c r="K98" s="5">
        <v>77</v>
      </c>
      <c r="L98" s="6" t="s">
        <v>35</v>
      </c>
      <c r="M98" s="6">
        <v>1</v>
      </c>
      <c r="N98" s="5">
        <v>192</v>
      </c>
      <c r="O98" s="6" t="s">
        <v>27</v>
      </c>
      <c r="P98" s="6">
        <v>1</v>
      </c>
      <c r="Q98" s="5">
        <v>47</v>
      </c>
      <c r="R98" s="6" t="s">
        <v>28</v>
      </c>
      <c r="S98" s="6">
        <v>1</v>
      </c>
      <c r="T98" s="5">
        <v>89</v>
      </c>
      <c r="U98" s="4" t="s">
        <v>64</v>
      </c>
      <c r="V98" s="4"/>
      <c r="W98" s="4">
        <v>4</v>
      </c>
      <c r="X98" s="13" t="s">
        <v>65</v>
      </c>
      <c r="Y98" s="15" t="str">
        <f>VLOOKUP(A98,[2]CVD!$A:$W,23,FALSE)</f>
        <v>ความเสี่ยงต่ำ</v>
      </c>
      <c r="Z98" s="23" t="s">
        <v>355</v>
      </c>
      <c r="AA98" s="23" t="s">
        <v>356</v>
      </c>
      <c r="AB98" s="23" t="s">
        <v>356</v>
      </c>
      <c r="AC98" s="23" t="s">
        <v>355</v>
      </c>
      <c r="AD98" s="27">
        <v>1</v>
      </c>
    </row>
    <row r="99" spans="1:30" x14ac:dyDescent="0.45">
      <c r="A99" s="8">
        <v>550107</v>
      </c>
      <c r="B99" s="4" t="s">
        <v>21</v>
      </c>
      <c r="C99" s="4" t="s">
        <v>239</v>
      </c>
      <c r="D99" s="4" t="s">
        <v>240</v>
      </c>
      <c r="E99" s="4" t="str">
        <f>VLOOKUP(A99,[1]GSP!$B:$G,6,FALSE)</f>
        <v>บง.วบก.</v>
      </c>
      <c r="F99" s="4" t="s">
        <v>25</v>
      </c>
      <c r="G99" s="5">
        <v>96</v>
      </c>
      <c r="H99" s="6" t="s">
        <v>9</v>
      </c>
      <c r="I99" s="6">
        <v>1</v>
      </c>
      <c r="J99" s="5">
        <v>146</v>
      </c>
      <c r="K99" s="5">
        <v>91</v>
      </c>
      <c r="L99" s="6" t="s">
        <v>26</v>
      </c>
      <c r="M99" s="6">
        <v>1</v>
      </c>
      <c r="N99" s="5">
        <v>204</v>
      </c>
      <c r="O99" s="6" t="s">
        <v>43</v>
      </c>
      <c r="P99" s="6">
        <v>1</v>
      </c>
      <c r="Q99" s="5">
        <v>40</v>
      </c>
      <c r="R99" s="4" t="s">
        <v>74</v>
      </c>
      <c r="S99" s="4"/>
      <c r="T99" s="5">
        <v>130</v>
      </c>
      <c r="U99" s="6" t="s">
        <v>58</v>
      </c>
      <c r="V99" s="6">
        <v>1</v>
      </c>
      <c r="W99" s="4">
        <v>4</v>
      </c>
      <c r="X99" s="13" t="s">
        <v>65</v>
      </c>
      <c r="Y99" s="15" t="str">
        <f>VLOOKUP(A99,[2]CVD!$A:$W,23,FALSE)</f>
        <v>ความเสี่ยงต่ำ</v>
      </c>
      <c r="Z99" s="24" t="s">
        <v>359</v>
      </c>
      <c r="AA99" s="24" t="s">
        <v>358</v>
      </c>
      <c r="AB99" s="24" t="s">
        <v>358</v>
      </c>
      <c r="AC99" s="25" t="s">
        <v>359</v>
      </c>
      <c r="AD99" s="27">
        <v>0</v>
      </c>
    </row>
    <row r="100" spans="1:30" x14ac:dyDescent="0.45">
      <c r="A100" s="8">
        <v>550139</v>
      </c>
      <c r="B100" s="4" t="s">
        <v>21</v>
      </c>
      <c r="C100" s="4" t="s">
        <v>130</v>
      </c>
      <c r="D100" s="4" t="s">
        <v>131</v>
      </c>
      <c r="E100" s="4" t="str">
        <f>VLOOKUP(A100,[1]GSP!$B:$G,6,FALSE)</f>
        <v>คผฺ.B ปจ.</v>
      </c>
      <c r="F100" s="4" t="s">
        <v>34</v>
      </c>
      <c r="G100" s="5">
        <v>107</v>
      </c>
      <c r="H100" s="6" t="s">
        <v>9</v>
      </c>
      <c r="I100" s="6">
        <v>1</v>
      </c>
      <c r="J100" s="5">
        <v>137</v>
      </c>
      <c r="K100" s="5">
        <v>91</v>
      </c>
      <c r="L100" s="6" t="s">
        <v>26</v>
      </c>
      <c r="M100" s="6">
        <v>1</v>
      </c>
      <c r="N100" s="5">
        <v>331</v>
      </c>
      <c r="O100" s="6" t="s">
        <v>43</v>
      </c>
      <c r="P100" s="6">
        <v>1</v>
      </c>
      <c r="Q100" s="5">
        <v>46</v>
      </c>
      <c r="R100" s="4" t="s">
        <v>74</v>
      </c>
      <c r="S100" s="4"/>
      <c r="T100" s="5">
        <v>106</v>
      </c>
      <c r="U100" s="6" t="s">
        <v>29</v>
      </c>
      <c r="V100" s="6">
        <v>1</v>
      </c>
      <c r="W100" s="4">
        <v>4</v>
      </c>
      <c r="X100" s="13" t="s">
        <v>65</v>
      </c>
      <c r="Y100" s="15" t="str">
        <f>VLOOKUP(A100,[2]CVD!$A:$W,23,FALSE)</f>
        <v>ความเสี่ยงต่ำ</v>
      </c>
      <c r="Z100" s="24" t="s">
        <v>359</v>
      </c>
      <c r="AA100" s="23" t="s">
        <v>356</v>
      </c>
      <c r="AB100" s="24" t="s">
        <v>358</v>
      </c>
      <c r="AC100" s="25" t="s">
        <v>359</v>
      </c>
      <c r="AD100" s="27">
        <v>0.25</v>
      </c>
    </row>
    <row r="101" spans="1:30" x14ac:dyDescent="0.45">
      <c r="A101" s="8">
        <v>550140</v>
      </c>
      <c r="B101" s="4" t="s">
        <v>21</v>
      </c>
      <c r="C101" s="4" t="s">
        <v>177</v>
      </c>
      <c r="D101" s="4" t="s">
        <v>178</v>
      </c>
      <c r="E101" s="4" t="str">
        <f>VLOOKUP(A101,[1]GSP!$B:$G,6,FALSE)</f>
        <v>ผ.ปก.A คจ.</v>
      </c>
      <c r="F101" s="4" t="s">
        <v>34</v>
      </c>
      <c r="G101" s="5">
        <v>120</v>
      </c>
      <c r="H101" s="6" t="s">
        <v>9</v>
      </c>
      <c r="I101" s="6">
        <v>1</v>
      </c>
      <c r="J101" s="5">
        <v>150</v>
      </c>
      <c r="K101" s="5">
        <v>104</v>
      </c>
      <c r="L101" s="6" t="s">
        <v>47</v>
      </c>
      <c r="M101" s="6">
        <v>1</v>
      </c>
      <c r="N101" s="5">
        <v>90</v>
      </c>
      <c r="O101" s="4" t="s">
        <v>74</v>
      </c>
      <c r="P101" s="4"/>
      <c r="Q101" s="5">
        <v>51</v>
      </c>
      <c r="R101" s="4" t="s">
        <v>74</v>
      </c>
      <c r="S101" s="4"/>
      <c r="T101" s="5">
        <v>111</v>
      </c>
      <c r="U101" s="6" t="s">
        <v>29</v>
      </c>
      <c r="V101" s="6">
        <v>1</v>
      </c>
      <c r="W101" s="4">
        <v>3</v>
      </c>
      <c r="X101" s="13" t="s">
        <v>65</v>
      </c>
      <c r="Y101" s="15" t="str">
        <f>VLOOKUP(A101,[2]CVD!$A:$W,23,FALSE)</f>
        <v>ความเสี่ยงต่ำ</v>
      </c>
      <c r="Z101" s="23" t="s">
        <v>355</v>
      </c>
      <c r="AA101" s="23" t="s">
        <v>356</v>
      </c>
      <c r="AB101" s="23" t="s">
        <v>356</v>
      </c>
      <c r="AC101" s="23" t="s">
        <v>355</v>
      </c>
      <c r="AD101" s="27">
        <v>1</v>
      </c>
    </row>
    <row r="102" spans="1:30" x14ac:dyDescent="0.45">
      <c r="A102" s="8">
        <v>550168</v>
      </c>
      <c r="B102" s="4" t="s">
        <v>21</v>
      </c>
      <c r="C102" s="4" t="s">
        <v>261</v>
      </c>
      <c r="D102" s="4" t="s">
        <v>262</v>
      </c>
      <c r="E102" s="4" t="str">
        <f>VLOOKUP(A102,[1]GSP!$B:$G,6,FALSE)</f>
        <v>บฟ.วบก.</v>
      </c>
      <c r="F102" s="4" t="s">
        <v>25</v>
      </c>
      <c r="G102" s="5">
        <v>108</v>
      </c>
      <c r="H102" s="6" t="s">
        <v>9</v>
      </c>
      <c r="I102" s="6">
        <v>1</v>
      </c>
      <c r="J102" s="5">
        <v>128</v>
      </c>
      <c r="K102" s="5">
        <v>86</v>
      </c>
      <c r="L102" s="6" t="s">
        <v>35</v>
      </c>
      <c r="M102" s="6">
        <v>1</v>
      </c>
      <c r="N102" s="5">
        <v>210</v>
      </c>
      <c r="O102" s="6" t="s">
        <v>43</v>
      </c>
      <c r="P102" s="6">
        <v>1</v>
      </c>
      <c r="Q102" s="5">
        <v>45</v>
      </c>
      <c r="R102" s="4" t="s">
        <v>74</v>
      </c>
      <c r="S102" s="4"/>
      <c r="T102" s="5">
        <v>86</v>
      </c>
      <c r="U102" s="4" t="s">
        <v>64</v>
      </c>
      <c r="V102" s="4"/>
      <c r="W102" s="4">
        <v>3</v>
      </c>
      <c r="X102" s="13" t="s">
        <v>65</v>
      </c>
      <c r="Y102" s="15" t="str">
        <f>VLOOKUP(A102,[2]CVD!$A:$W,23,FALSE)</f>
        <v>ความเสี่ยงต่ำ</v>
      </c>
      <c r="Z102" s="23" t="s">
        <v>355</v>
      </c>
      <c r="AA102" s="23" t="s">
        <v>356</v>
      </c>
      <c r="AB102" s="23" t="s">
        <v>356</v>
      </c>
      <c r="AC102" s="23" t="s">
        <v>355</v>
      </c>
      <c r="AD102" s="27">
        <v>1</v>
      </c>
    </row>
    <row r="103" spans="1:30" x14ac:dyDescent="0.45">
      <c r="A103" s="8">
        <v>550185</v>
      </c>
      <c r="B103" s="4" t="s">
        <v>21</v>
      </c>
      <c r="C103" s="4" t="s">
        <v>208</v>
      </c>
      <c r="D103" s="4" t="s">
        <v>209</v>
      </c>
      <c r="E103" s="4" t="str">
        <f>VLOOKUP(A103,[1]GSP!$B:$G,6,FALSE)</f>
        <v>ผ.ปก.D ปอ.</v>
      </c>
      <c r="F103" s="4" t="s">
        <v>34</v>
      </c>
      <c r="G103" s="5">
        <v>103</v>
      </c>
      <c r="H103" s="6" t="s">
        <v>9</v>
      </c>
      <c r="I103" s="6">
        <v>1</v>
      </c>
      <c r="J103" s="5">
        <v>135</v>
      </c>
      <c r="K103" s="5">
        <v>84</v>
      </c>
      <c r="L103" s="6" t="s">
        <v>35</v>
      </c>
      <c r="M103" s="6">
        <v>1</v>
      </c>
      <c r="N103" s="5">
        <v>218</v>
      </c>
      <c r="O103" s="6" t="s">
        <v>43</v>
      </c>
      <c r="P103" s="6">
        <v>1</v>
      </c>
      <c r="Q103" s="5">
        <v>40</v>
      </c>
      <c r="R103" s="4" t="s">
        <v>74</v>
      </c>
      <c r="S103" s="4"/>
      <c r="T103" s="5">
        <v>103</v>
      </c>
      <c r="U103" s="6" t="s">
        <v>29</v>
      </c>
      <c r="V103" s="6">
        <v>1</v>
      </c>
      <c r="W103" s="4">
        <v>4</v>
      </c>
      <c r="X103" s="13" t="s">
        <v>65</v>
      </c>
      <c r="Y103" s="15" t="str">
        <f>VLOOKUP(A103,[2]CVD!$A:$W,23,FALSE)</f>
        <v>ความเสี่ยงต่ำ</v>
      </c>
      <c r="Z103" s="24" t="s">
        <v>359</v>
      </c>
      <c r="AA103" s="24" t="s">
        <v>358</v>
      </c>
      <c r="AB103" s="24" t="s">
        <v>358</v>
      </c>
      <c r="AC103" s="23" t="s">
        <v>355</v>
      </c>
      <c r="AD103" s="27">
        <v>0.25</v>
      </c>
    </row>
    <row r="104" spans="1:30" x14ac:dyDescent="0.45">
      <c r="A104" s="8">
        <v>550189</v>
      </c>
      <c r="B104" s="4" t="s">
        <v>21</v>
      </c>
      <c r="C104" s="4" t="s">
        <v>44</v>
      </c>
      <c r="D104" s="4" t="s">
        <v>45</v>
      </c>
      <c r="E104" s="4" t="str">
        <f>VLOOKUP(A104,[1]GSP!$B:$G,6,FALSE)</f>
        <v>ผ.ปก.A ปอ.</v>
      </c>
      <c r="F104" s="4" t="s">
        <v>34</v>
      </c>
      <c r="G104" s="5">
        <v>98</v>
      </c>
      <c r="H104" s="6" t="s">
        <v>9</v>
      </c>
      <c r="I104" s="6">
        <v>1</v>
      </c>
      <c r="J104" s="5">
        <v>164</v>
      </c>
      <c r="K104" s="5">
        <v>106</v>
      </c>
      <c r="L104" s="6" t="s">
        <v>47</v>
      </c>
      <c r="M104" s="6">
        <v>1</v>
      </c>
      <c r="N104" s="5">
        <v>674</v>
      </c>
      <c r="O104" s="6" t="s">
        <v>48</v>
      </c>
      <c r="P104" s="6">
        <v>1</v>
      </c>
      <c r="Q104" s="5">
        <v>32</v>
      </c>
      <c r="R104" s="6" t="s">
        <v>28</v>
      </c>
      <c r="S104" s="6">
        <v>1</v>
      </c>
      <c r="T104" s="5">
        <v>100</v>
      </c>
      <c r="U104" s="6" t="s">
        <v>29</v>
      </c>
      <c r="V104" s="6">
        <v>1</v>
      </c>
      <c r="W104" s="4">
        <v>5</v>
      </c>
      <c r="X104" s="12" t="s">
        <v>30</v>
      </c>
      <c r="Y104" s="15" t="str">
        <f>VLOOKUP(A104,[2]CVD!$A:$W,23,FALSE)</f>
        <v>ความเสี่ยงต่ำ</v>
      </c>
      <c r="Z104" s="23" t="s">
        <v>355</v>
      </c>
      <c r="AA104" s="24" t="s">
        <v>358</v>
      </c>
      <c r="AB104" s="24" t="s">
        <v>358</v>
      </c>
      <c r="AC104" s="23" t="s">
        <v>355</v>
      </c>
      <c r="AD104" s="27">
        <v>0.5</v>
      </c>
    </row>
    <row r="105" spans="1:30" x14ac:dyDescent="0.45">
      <c r="A105" s="8">
        <v>550202</v>
      </c>
      <c r="B105" s="4" t="s">
        <v>21</v>
      </c>
      <c r="C105" s="4" t="s">
        <v>31</v>
      </c>
      <c r="D105" s="4" t="s">
        <v>32</v>
      </c>
      <c r="E105" s="4" t="str">
        <f>VLOOKUP(A105,[1]GSP!$B:$G,6,FALSE)</f>
        <v>คผ.A ปล.</v>
      </c>
      <c r="F105" s="4" t="s">
        <v>34</v>
      </c>
      <c r="G105" s="5">
        <v>112</v>
      </c>
      <c r="H105" s="6" t="s">
        <v>9</v>
      </c>
      <c r="I105" s="6">
        <v>1</v>
      </c>
      <c r="J105" s="5">
        <v>136</v>
      </c>
      <c r="K105" s="5">
        <v>72</v>
      </c>
      <c r="L105" s="6" t="s">
        <v>35</v>
      </c>
      <c r="M105" s="6">
        <v>1</v>
      </c>
      <c r="N105" s="5">
        <v>194</v>
      </c>
      <c r="O105" s="6" t="s">
        <v>27</v>
      </c>
      <c r="P105" s="6">
        <v>1</v>
      </c>
      <c r="Q105" s="5">
        <v>36</v>
      </c>
      <c r="R105" s="6" t="s">
        <v>28</v>
      </c>
      <c r="S105" s="6">
        <v>1</v>
      </c>
      <c r="T105" s="5">
        <v>117</v>
      </c>
      <c r="U105" s="6" t="s">
        <v>29</v>
      </c>
      <c r="V105" s="6">
        <v>1</v>
      </c>
      <c r="W105" s="4">
        <v>5</v>
      </c>
      <c r="X105" s="12" t="s">
        <v>30</v>
      </c>
      <c r="Y105" s="15" t="str">
        <f>VLOOKUP(A105,[2]CVD!$A:$W,23,FALSE)</f>
        <v>ความเสี่ยงต่ำ</v>
      </c>
      <c r="Z105" s="24" t="s">
        <v>359</v>
      </c>
      <c r="AA105" s="24" t="s">
        <v>358</v>
      </c>
      <c r="AB105" s="24" t="s">
        <v>358</v>
      </c>
      <c r="AC105" s="25" t="s">
        <v>359</v>
      </c>
      <c r="AD105" s="27">
        <v>0</v>
      </c>
    </row>
    <row r="106" spans="1:30" x14ac:dyDescent="0.45">
      <c r="A106" s="8">
        <v>550361</v>
      </c>
      <c r="B106" s="4" t="s">
        <v>106</v>
      </c>
      <c r="C106" s="4" t="s">
        <v>107</v>
      </c>
      <c r="D106" s="4" t="s">
        <v>108</v>
      </c>
      <c r="E106" s="4" t="str">
        <f>VLOOKUP(A106,[1]GSP!$B:$G,6,FALSE)</f>
        <v>วป.วบก.</v>
      </c>
      <c r="F106" s="4" t="s">
        <v>25</v>
      </c>
      <c r="G106" s="5">
        <v>111</v>
      </c>
      <c r="H106" s="6" t="s">
        <v>9</v>
      </c>
      <c r="I106" s="6">
        <v>1</v>
      </c>
      <c r="J106" s="5">
        <v>144</v>
      </c>
      <c r="K106" s="5">
        <v>75</v>
      </c>
      <c r="L106" s="6" t="s">
        <v>26</v>
      </c>
      <c r="M106" s="6">
        <v>1</v>
      </c>
      <c r="N106" s="5">
        <v>194</v>
      </c>
      <c r="O106" s="6" t="s">
        <v>27</v>
      </c>
      <c r="P106" s="6">
        <v>1</v>
      </c>
      <c r="Q106" s="5">
        <v>46</v>
      </c>
      <c r="R106" s="6" t="s">
        <v>28</v>
      </c>
      <c r="S106" s="6">
        <v>1</v>
      </c>
      <c r="T106" s="5">
        <v>98</v>
      </c>
      <c r="U106" s="4" t="s">
        <v>64</v>
      </c>
      <c r="V106" s="4"/>
      <c r="W106" s="4">
        <v>4</v>
      </c>
      <c r="X106" s="13" t="s">
        <v>65</v>
      </c>
      <c r="Y106" s="15" t="str">
        <f>VLOOKUP(A106,[2]CVD!$A:$W,23,FALSE)</f>
        <v>ความเสี่ยงต่ำ</v>
      </c>
      <c r="Z106" s="23" t="s">
        <v>355</v>
      </c>
      <c r="AA106" s="24" t="s">
        <v>358</v>
      </c>
      <c r="AB106" s="24" t="s">
        <v>358</v>
      </c>
      <c r="AC106" s="23" t="s">
        <v>355</v>
      </c>
      <c r="AD106" s="27">
        <v>0.5</v>
      </c>
    </row>
    <row r="107" spans="1:30" x14ac:dyDescent="0.45">
      <c r="A107" s="8">
        <v>560067</v>
      </c>
      <c r="B107" s="4" t="s">
        <v>21</v>
      </c>
      <c r="C107" s="4" t="s">
        <v>196</v>
      </c>
      <c r="D107" s="4" t="s">
        <v>197</v>
      </c>
      <c r="E107" s="4" t="str">
        <f>VLOOKUP(A107,[1]GSP!$B:$G,6,FALSE)</f>
        <v>คผ.A ปล.</v>
      </c>
      <c r="F107" s="4" t="s">
        <v>34</v>
      </c>
      <c r="G107" s="5">
        <v>99</v>
      </c>
      <c r="H107" s="6" t="s">
        <v>9</v>
      </c>
      <c r="I107" s="6">
        <v>1</v>
      </c>
      <c r="J107" s="5">
        <v>133</v>
      </c>
      <c r="K107" s="5">
        <v>81</v>
      </c>
      <c r="L107" s="6" t="s">
        <v>35</v>
      </c>
      <c r="M107" s="6">
        <v>1</v>
      </c>
      <c r="N107" s="5">
        <v>220</v>
      </c>
      <c r="O107" s="6" t="s">
        <v>43</v>
      </c>
      <c r="P107" s="6">
        <v>1</v>
      </c>
      <c r="Q107" s="5">
        <v>52</v>
      </c>
      <c r="R107" s="4" t="s">
        <v>74</v>
      </c>
      <c r="S107" s="4"/>
      <c r="T107" s="5">
        <v>94</v>
      </c>
      <c r="U107" s="4" t="s">
        <v>64</v>
      </c>
      <c r="V107" s="4"/>
      <c r="W107" s="4">
        <v>3</v>
      </c>
      <c r="X107" s="13" t="s">
        <v>65</v>
      </c>
      <c r="Y107" s="15" t="str">
        <f>VLOOKUP(A107,[2]CVD!$A:$W,23,FALSE)</f>
        <v>ความเสี่ยงต่ำ</v>
      </c>
      <c r="Z107" s="24" t="s">
        <v>359</v>
      </c>
      <c r="AA107" s="24" t="s">
        <v>358</v>
      </c>
      <c r="AB107" s="24" t="s">
        <v>358</v>
      </c>
      <c r="AC107" s="25" t="s">
        <v>359</v>
      </c>
      <c r="AD107" s="27">
        <v>0</v>
      </c>
    </row>
    <row r="108" spans="1:30" x14ac:dyDescent="0.45">
      <c r="A108" s="8">
        <v>570124</v>
      </c>
      <c r="B108" s="4" t="s">
        <v>21</v>
      </c>
      <c r="C108" s="4" t="s">
        <v>22</v>
      </c>
      <c r="D108" s="4" t="s">
        <v>23</v>
      </c>
      <c r="E108" s="4" t="str">
        <f>VLOOKUP(A108,[1]GSP!$B:$G,6,FALSE)</f>
        <v>บฟ.วบก.</v>
      </c>
      <c r="F108" s="4" t="s">
        <v>25</v>
      </c>
      <c r="G108" s="5">
        <v>124</v>
      </c>
      <c r="H108" s="6" t="s">
        <v>9</v>
      </c>
      <c r="I108" s="6">
        <v>1</v>
      </c>
      <c r="J108" s="5">
        <v>147</v>
      </c>
      <c r="K108" s="5">
        <v>79</v>
      </c>
      <c r="L108" s="6" t="s">
        <v>26</v>
      </c>
      <c r="M108" s="6">
        <v>1</v>
      </c>
      <c r="N108" s="5">
        <v>199</v>
      </c>
      <c r="O108" s="6" t="s">
        <v>27</v>
      </c>
      <c r="P108" s="6">
        <v>1</v>
      </c>
      <c r="Q108" s="5">
        <v>35</v>
      </c>
      <c r="R108" s="6" t="s">
        <v>28</v>
      </c>
      <c r="S108" s="6">
        <v>1</v>
      </c>
      <c r="T108" s="5">
        <v>114</v>
      </c>
      <c r="U108" s="6" t="s">
        <v>29</v>
      </c>
      <c r="V108" s="6">
        <v>1</v>
      </c>
      <c r="W108" s="4">
        <v>5</v>
      </c>
      <c r="X108" s="12" t="s">
        <v>30</v>
      </c>
      <c r="Y108" s="15" t="str">
        <f>VLOOKUP(A108,[2]CVD!$A:$W,23,FALSE)</f>
        <v>ความเสี่ยงต่ำ</v>
      </c>
      <c r="Z108" s="24" t="s">
        <v>359</v>
      </c>
      <c r="AA108" s="24" t="s">
        <v>358</v>
      </c>
      <c r="AB108" s="24" t="s">
        <v>358</v>
      </c>
      <c r="AC108" s="25" t="s">
        <v>359</v>
      </c>
      <c r="AD108" s="27">
        <v>0</v>
      </c>
    </row>
    <row r="109" spans="1:30" x14ac:dyDescent="0.45">
      <c r="A109" s="8">
        <v>580048</v>
      </c>
      <c r="B109" s="4" t="s">
        <v>21</v>
      </c>
      <c r="C109" s="4" t="s">
        <v>89</v>
      </c>
      <c r="D109" s="4" t="s">
        <v>146</v>
      </c>
      <c r="E109" s="4" t="str">
        <f>VLOOKUP(A109,[1]GSP!$B:$G,6,FALSE)</f>
        <v>ผ.ปก.C ปอ.</v>
      </c>
      <c r="F109" s="4" t="s">
        <v>34</v>
      </c>
      <c r="G109" s="5">
        <v>99</v>
      </c>
      <c r="H109" s="6" t="s">
        <v>9</v>
      </c>
      <c r="I109" s="6">
        <v>1</v>
      </c>
      <c r="J109" s="5">
        <v>146</v>
      </c>
      <c r="K109" s="5">
        <v>95</v>
      </c>
      <c r="L109" s="6" t="s">
        <v>26</v>
      </c>
      <c r="M109" s="6">
        <v>1</v>
      </c>
      <c r="N109" s="5">
        <v>328</v>
      </c>
      <c r="O109" s="6" t="s">
        <v>43</v>
      </c>
      <c r="P109" s="6">
        <v>1</v>
      </c>
      <c r="Q109" s="5">
        <v>46</v>
      </c>
      <c r="R109" s="4" t="s">
        <v>74</v>
      </c>
      <c r="S109" s="4"/>
      <c r="T109" s="5">
        <v>85</v>
      </c>
      <c r="U109" s="4" t="s">
        <v>64</v>
      </c>
      <c r="V109" s="4"/>
      <c r="W109" s="4">
        <v>3</v>
      </c>
      <c r="X109" s="13" t="s">
        <v>65</v>
      </c>
      <c r="Y109" s="15" t="str">
        <f>VLOOKUP(A109,[2]CVD!$A:$W,23,FALSE)</f>
        <v>ความเสี่ยงต่ำ</v>
      </c>
      <c r="Z109" s="24" t="s">
        <v>359</v>
      </c>
      <c r="AA109" s="24" t="s">
        <v>358</v>
      </c>
      <c r="AB109" s="24" t="s">
        <v>358</v>
      </c>
      <c r="AC109" s="25" t="s">
        <v>359</v>
      </c>
      <c r="AD109" s="27">
        <v>0</v>
      </c>
    </row>
    <row r="110" spans="1:30" x14ac:dyDescent="0.45">
      <c r="A110" s="8">
        <v>580078</v>
      </c>
      <c r="B110" s="4" t="s">
        <v>21</v>
      </c>
      <c r="C110" s="4" t="s">
        <v>126</v>
      </c>
      <c r="D110" s="4" t="s">
        <v>127</v>
      </c>
      <c r="E110" s="4" t="str">
        <f>VLOOKUP(A110,[1]GSP!$B:$G,6,FALSE)</f>
        <v>บง.วบก.</v>
      </c>
      <c r="F110" s="4" t="s">
        <v>25</v>
      </c>
      <c r="G110" s="5">
        <v>119</v>
      </c>
      <c r="H110" s="6" t="s">
        <v>9</v>
      </c>
      <c r="I110" s="6">
        <v>1</v>
      </c>
      <c r="J110" s="5">
        <v>134</v>
      </c>
      <c r="K110" s="5">
        <v>89</v>
      </c>
      <c r="L110" s="6" t="s">
        <v>35</v>
      </c>
      <c r="M110" s="6">
        <v>1</v>
      </c>
      <c r="N110" s="5">
        <v>158</v>
      </c>
      <c r="O110" s="6" t="s">
        <v>27</v>
      </c>
      <c r="P110" s="6">
        <v>1</v>
      </c>
      <c r="Q110" s="5">
        <v>43</v>
      </c>
      <c r="R110" s="4" t="s">
        <v>74</v>
      </c>
      <c r="S110" s="4"/>
      <c r="T110" s="5">
        <v>140</v>
      </c>
      <c r="U110" s="6" t="s">
        <v>58</v>
      </c>
      <c r="V110" s="6">
        <v>1</v>
      </c>
      <c r="W110" s="4">
        <v>4</v>
      </c>
      <c r="X110" s="13" t="s">
        <v>65</v>
      </c>
      <c r="Y110" s="15" t="str">
        <f>VLOOKUP(A110,[2]CVD!$A:$W,23,FALSE)</f>
        <v>ความเสี่ยงต่ำ</v>
      </c>
      <c r="Z110" s="24" t="s">
        <v>359</v>
      </c>
      <c r="AA110" s="24" t="s">
        <v>358</v>
      </c>
      <c r="AB110" s="24" t="s">
        <v>358</v>
      </c>
      <c r="AC110" s="25" t="s">
        <v>359</v>
      </c>
      <c r="AD110" s="27">
        <v>0</v>
      </c>
    </row>
    <row r="111" spans="1:30" x14ac:dyDescent="0.45">
      <c r="A111" s="8">
        <v>580098</v>
      </c>
      <c r="B111" s="4" t="s">
        <v>21</v>
      </c>
      <c r="C111" s="4" t="s">
        <v>228</v>
      </c>
      <c r="D111" s="4" t="s">
        <v>229</v>
      </c>
      <c r="E111" s="4" t="str">
        <f>VLOOKUP(A111,[1]GSP!$B:$G,6,FALSE)</f>
        <v>คผ.A ปต.</v>
      </c>
      <c r="F111" s="4" t="s">
        <v>34</v>
      </c>
      <c r="G111" s="5">
        <v>92</v>
      </c>
      <c r="H111" s="6" t="s">
        <v>9</v>
      </c>
      <c r="I111" s="6">
        <v>1</v>
      </c>
      <c r="J111" s="5">
        <v>131</v>
      </c>
      <c r="K111" s="5">
        <v>83</v>
      </c>
      <c r="L111" s="6" t="s">
        <v>35</v>
      </c>
      <c r="M111" s="6">
        <v>1</v>
      </c>
      <c r="N111" s="5">
        <v>206</v>
      </c>
      <c r="O111" s="6" t="s">
        <v>43</v>
      </c>
      <c r="P111" s="6">
        <v>1</v>
      </c>
      <c r="Q111" s="5">
        <v>51</v>
      </c>
      <c r="R111" s="4" t="s">
        <v>74</v>
      </c>
      <c r="S111" s="4"/>
      <c r="T111" s="5">
        <v>88</v>
      </c>
      <c r="U111" s="4" t="s">
        <v>64</v>
      </c>
      <c r="V111" s="4"/>
      <c r="W111" s="4">
        <v>3</v>
      </c>
      <c r="X111" s="13" t="s">
        <v>65</v>
      </c>
      <c r="Y111" s="15" t="str">
        <f>VLOOKUP(A111,[2]CVD!$A:$W,23,FALSE)</f>
        <v>ความเสี่ยงต่ำ</v>
      </c>
      <c r="Z111" s="24" t="s">
        <v>359</v>
      </c>
      <c r="AA111" s="24" t="s">
        <v>358</v>
      </c>
      <c r="AB111" s="24" t="s">
        <v>358</v>
      </c>
      <c r="AC111" s="25" t="s">
        <v>359</v>
      </c>
      <c r="AD111" s="27">
        <v>0</v>
      </c>
    </row>
    <row r="112" spans="1:30" x14ac:dyDescent="0.45">
      <c r="A112" s="8">
        <v>580103</v>
      </c>
      <c r="B112" s="4" t="s">
        <v>106</v>
      </c>
      <c r="C112" s="4" t="s">
        <v>236</v>
      </c>
      <c r="D112" s="4" t="s">
        <v>237</v>
      </c>
      <c r="E112" s="4" t="str">
        <f>VLOOKUP(A112,[1]GSP!$B:$G,6,FALSE)</f>
        <v>กช.บรก.</v>
      </c>
      <c r="F112" s="4" t="s">
        <v>39</v>
      </c>
      <c r="G112" s="5">
        <v>102</v>
      </c>
      <c r="H112" s="6" t="s">
        <v>9</v>
      </c>
      <c r="I112" s="6">
        <v>1</v>
      </c>
      <c r="J112" s="5">
        <v>148</v>
      </c>
      <c r="K112" s="5">
        <v>93</v>
      </c>
      <c r="L112" s="6" t="s">
        <v>26</v>
      </c>
      <c r="M112" s="6">
        <v>1</v>
      </c>
      <c r="N112" s="5">
        <v>101</v>
      </c>
      <c r="O112" s="4" t="s">
        <v>74</v>
      </c>
      <c r="P112" s="4"/>
      <c r="Q112" s="5">
        <v>46</v>
      </c>
      <c r="R112" s="6" t="s">
        <v>28</v>
      </c>
      <c r="S112" s="6">
        <v>1</v>
      </c>
      <c r="T112" s="5">
        <v>96</v>
      </c>
      <c r="U112" s="4" t="s">
        <v>64</v>
      </c>
      <c r="V112" s="4"/>
      <c r="W112" s="4">
        <v>3</v>
      </c>
      <c r="X112" s="13" t="s">
        <v>65</v>
      </c>
      <c r="Y112" s="15" t="str">
        <f>VLOOKUP(A112,[2]CVD!$A:$W,23,FALSE)</f>
        <v>ความเสี่ยงต่ำ</v>
      </c>
      <c r="Z112" s="23" t="s">
        <v>355</v>
      </c>
      <c r="AA112" s="23" t="s">
        <v>356</v>
      </c>
      <c r="AB112" s="23" t="s">
        <v>356</v>
      </c>
      <c r="AC112" s="23" t="s">
        <v>355</v>
      </c>
      <c r="AD112" s="27">
        <v>1</v>
      </c>
    </row>
    <row r="113" spans="1:30" x14ac:dyDescent="0.45">
      <c r="A113" s="8">
        <v>580188</v>
      </c>
      <c r="B113" s="4" t="s">
        <v>21</v>
      </c>
      <c r="C113" s="4" t="s">
        <v>174</v>
      </c>
      <c r="D113" s="4" t="s">
        <v>175</v>
      </c>
      <c r="E113" s="4" t="str">
        <f>VLOOKUP(A113,[1]GSP!$B:$G,6,FALSE)</f>
        <v>ซญ.วบก.</v>
      </c>
      <c r="F113" s="4" t="s">
        <v>25</v>
      </c>
      <c r="G113" s="5">
        <v>94</v>
      </c>
      <c r="H113" s="6" t="s">
        <v>9</v>
      </c>
      <c r="I113" s="6">
        <v>1</v>
      </c>
      <c r="J113" s="5">
        <v>134</v>
      </c>
      <c r="K113" s="5">
        <v>78</v>
      </c>
      <c r="L113" s="6" t="s">
        <v>35</v>
      </c>
      <c r="M113" s="6">
        <v>1</v>
      </c>
      <c r="N113" s="5">
        <v>95</v>
      </c>
      <c r="O113" s="4" t="s">
        <v>74</v>
      </c>
      <c r="P113" s="4"/>
      <c r="Q113" s="5">
        <v>36</v>
      </c>
      <c r="R113" s="6" t="s">
        <v>28</v>
      </c>
      <c r="S113" s="6">
        <v>1</v>
      </c>
      <c r="T113" s="5">
        <v>84</v>
      </c>
      <c r="U113" s="4" t="s">
        <v>64</v>
      </c>
      <c r="V113" s="4"/>
      <c r="W113" s="4">
        <v>3</v>
      </c>
      <c r="X113" s="13" t="s">
        <v>65</v>
      </c>
      <c r="Y113" s="15" t="str">
        <f>VLOOKUP(A113,[2]CVD!$A:$W,23,FALSE)</f>
        <v>ความเสี่ยงต่ำ</v>
      </c>
      <c r="Z113" s="24" t="s">
        <v>359</v>
      </c>
      <c r="AA113" s="24" t="s">
        <v>358</v>
      </c>
      <c r="AB113" s="24" t="s">
        <v>358</v>
      </c>
      <c r="AC113" s="23" t="s">
        <v>355</v>
      </c>
      <c r="AD113" s="27">
        <v>0.25</v>
      </c>
    </row>
    <row r="114" spans="1:30" x14ac:dyDescent="0.45">
      <c r="A114" s="8">
        <v>580194</v>
      </c>
      <c r="B114" s="4" t="s">
        <v>21</v>
      </c>
      <c r="C114" s="4" t="s">
        <v>230</v>
      </c>
      <c r="D114" s="4" t="s">
        <v>231</v>
      </c>
      <c r="E114" s="4" t="str">
        <f>VLOOKUP(A114,[1]GSP!$B:$G,6,FALSE)</f>
        <v>ตร.วบก.</v>
      </c>
      <c r="F114" s="4" t="s">
        <v>25</v>
      </c>
      <c r="G114" s="5">
        <v>91</v>
      </c>
      <c r="H114" s="6" t="s">
        <v>9</v>
      </c>
      <c r="I114" s="6">
        <v>1</v>
      </c>
      <c r="J114" s="5">
        <v>130</v>
      </c>
      <c r="K114" s="5">
        <v>68</v>
      </c>
      <c r="L114" s="6" t="s">
        <v>35</v>
      </c>
      <c r="M114" s="6">
        <v>1</v>
      </c>
      <c r="N114" s="5">
        <v>277</v>
      </c>
      <c r="O114" s="6" t="s">
        <v>43</v>
      </c>
      <c r="P114" s="6">
        <v>1</v>
      </c>
      <c r="Q114" s="5">
        <v>40</v>
      </c>
      <c r="R114" s="4" t="s">
        <v>74</v>
      </c>
      <c r="S114" s="4"/>
      <c r="T114" s="5">
        <v>88</v>
      </c>
      <c r="U114" s="4" t="s">
        <v>64</v>
      </c>
      <c r="V114" s="4"/>
      <c r="W114" s="4">
        <v>3</v>
      </c>
      <c r="X114" s="13" t="s">
        <v>65</v>
      </c>
      <c r="Y114" s="15" t="str">
        <f>VLOOKUP(A114,[2]CVD!$A:$W,23,FALSE)</f>
        <v>ความเสี่ยงต่ำ</v>
      </c>
      <c r="Z114" s="24" t="s">
        <v>359</v>
      </c>
      <c r="AA114" s="24" t="s">
        <v>358</v>
      </c>
      <c r="AB114" s="24" t="s">
        <v>358</v>
      </c>
      <c r="AC114" s="23" t="s">
        <v>355</v>
      </c>
      <c r="AD114" s="27">
        <v>0.25</v>
      </c>
    </row>
    <row r="115" spans="1:30" x14ac:dyDescent="0.45">
      <c r="A115" s="8">
        <v>580263</v>
      </c>
      <c r="B115" s="4" t="s">
        <v>21</v>
      </c>
      <c r="C115" s="4" t="s">
        <v>150</v>
      </c>
      <c r="D115" s="4" t="s">
        <v>151</v>
      </c>
      <c r="E115" s="4" t="str">
        <f>VLOOKUP(A115,[1]GSP!$B:$G,6,FALSE)</f>
        <v>ผ.ปก.B คจ.</v>
      </c>
      <c r="F115" s="4" t="s">
        <v>34</v>
      </c>
      <c r="G115" s="5">
        <v>92</v>
      </c>
      <c r="H115" s="6" t="s">
        <v>9</v>
      </c>
      <c r="I115" s="6">
        <v>1</v>
      </c>
      <c r="J115" s="5">
        <v>139</v>
      </c>
      <c r="K115" s="5">
        <v>97</v>
      </c>
      <c r="L115" s="6" t="s">
        <v>26</v>
      </c>
      <c r="M115" s="6">
        <v>1</v>
      </c>
      <c r="N115" s="5">
        <v>207</v>
      </c>
      <c r="O115" s="6" t="s">
        <v>43</v>
      </c>
      <c r="P115" s="6">
        <v>1</v>
      </c>
      <c r="Q115" s="5">
        <v>37</v>
      </c>
      <c r="R115" s="6" t="s">
        <v>28</v>
      </c>
      <c r="S115" s="6">
        <v>1</v>
      </c>
      <c r="T115" s="5">
        <v>86</v>
      </c>
      <c r="U115" s="4" t="s">
        <v>64</v>
      </c>
      <c r="V115" s="4"/>
      <c r="W115" s="4">
        <v>4</v>
      </c>
      <c r="X115" s="13" t="s">
        <v>65</v>
      </c>
      <c r="Y115" s="15" t="str">
        <f>VLOOKUP(A115,[2]CVD!$A:$W,23,FALSE)</f>
        <v>ความเสี่ยงต่ำ</v>
      </c>
      <c r="Z115" s="24" t="s">
        <v>359</v>
      </c>
      <c r="AA115" s="23" t="s">
        <v>356</v>
      </c>
      <c r="AB115" s="24" t="s">
        <v>358</v>
      </c>
      <c r="AC115" s="25" t="s">
        <v>359</v>
      </c>
      <c r="AD115" s="27">
        <v>0.25</v>
      </c>
    </row>
    <row r="116" spans="1:30" x14ac:dyDescent="0.45">
      <c r="A116" s="8">
        <v>580271</v>
      </c>
      <c r="B116" s="4" t="s">
        <v>21</v>
      </c>
      <c r="C116" s="4" t="s">
        <v>181</v>
      </c>
      <c r="D116" s="4" t="s">
        <v>182</v>
      </c>
      <c r="E116" s="4" t="str">
        <f>VLOOKUP(A116,[1]GSP!$B:$G,6,FALSE)</f>
        <v>ผ.คผ.D ปผ.</v>
      </c>
      <c r="F116" s="4" t="s">
        <v>34</v>
      </c>
      <c r="G116" s="5">
        <v>87</v>
      </c>
      <c r="H116" s="4" t="s">
        <v>171</v>
      </c>
      <c r="I116" s="4"/>
      <c r="J116" s="5">
        <v>136</v>
      </c>
      <c r="K116" s="5">
        <v>82</v>
      </c>
      <c r="L116" s="6" t="s">
        <v>35</v>
      </c>
      <c r="M116" s="6">
        <v>1</v>
      </c>
      <c r="N116" s="5">
        <v>618</v>
      </c>
      <c r="O116" s="6" t="s">
        <v>48</v>
      </c>
      <c r="P116" s="6">
        <v>1</v>
      </c>
      <c r="Q116" s="5">
        <v>39</v>
      </c>
      <c r="R116" s="6" t="s">
        <v>28</v>
      </c>
      <c r="S116" s="6">
        <v>1</v>
      </c>
      <c r="T116" s="5">
        <v>100</v>
      </c>
      <c r="U116" s="6" t="s">
        <v>29</v>
      </c>
      <c r="V116" s="6">
        <v>1</v>
      </c>
      <c r="W116" s="4">
        <v>4</v>
      </c>
      <c r="X116" s="13" t="s">
        <v>65</v>
      </c>
      <c r="Y116" s="15" t="str">
        <f>VLOOKUP(A116,[2]CVD!$A:$W,23,FALSE)</f>
        <v>ความเสี่ยงต่ำ</v>
      </c>
      <c r="Z116" s="23" t="s">
        <v>355</v>
      </c>
      <c r="AA116" s="26" t="s">
        <v>356</v>
      </c>
      <c r="AB116" s="26" t="s">
        <v>356</v>
      </c>
      <c r="AC116" s="25" t="s">
        <v>359</v>
      </c>
      <c r="AD116" s="27">
        <v>0.75</v>
      </c>
    </row>
    <row r="117" spans="1:30" x14ac:dyDescent="0.45">
      <c r="A117" s="8">
        <v>580295</v>
      </c>
      <c r="B117" s="4" t="s">
        <v>21</v>
      </c>
      <c r="C117" s="4" t="s">
        <v>192</v>
      </c>
      <c r="D117" s="4" t="s">
        <v>193</v>
      </c>
      <c r="E117" s="4" t="str">
        <f>VLOOKUP(A117,[1]GSP!$B:$G,6,FALSE)</f>
        <v>ผ.คผ.D ปผ.</v>
      </c>
      <c r="F117" s="4" t="s">
        <v>34</v>
      </c>
      <c r="G117" s="5">
        <v>76</v>
      </c>
      <c r="H117" s="4" t="s">
        <v>171</v>
      </c>
      <c r="I117" s="4"/>
      <c r="J117" s="5">
        <v>138</v>
      </c>
      <c r="K117" s="5">
        <v>80</v>
      </c>
      <c r="L117" s="6" t="s">
        <v>35</v>
      </c>
      <c r="M117" s="6">
        <v>1</v>
      </c>
      <c r="N117" s="5">
        <v>195</v>
      </c>
      <c r="O117" s="6" t="s">
        <v>27</v>
      </c>
      <c r="P117" s="6">
        <v>1</v>
      </c>
      <c r="Q117" s="5">
        <v>39</v>
      </c>
      <c r="R117" s="6" t="s">
        <v>28</v>
      </c>
      <c r="S117" s="6">
        <v>1</v>
      </c>
      <c r="T117" s="5">
        <v>84</v>
      </c>
      <c r="U117" s="4" t="s">
        <v>64</v>
      </c>
      <c r="V117" s="4"/>
      <c r="W117" s="4">
        <v>3</v>
      </c>
      <c r="X117" s="13" t="s">
        <v>65</v>
      </c>
      <c r="Y117" s="15" t="str">
        <f>VLOOKUP(A117,[2]CVD!$A:$W,23,FALSE)</f>
        <v>ความเสี่ยงต่ำ</v>
      </c>
      <c r="Z117" s="24" t="s">
        <v>359</v>
      </c>
      <c r="AA117" s="24" t="s">
        <v>358</v>
      </c>
      <c r="AB117" s="24" t="s">
        <v>358</v>
      </c>
      <c r="AC117" s="25" t="s">
        <v>359</v>
      </c>
      <c r="AD117" s="27">
        <v>0</v>
      </c>
    </row>
    <row r="118" spans="1:30" x14ac:dyDescent="0.45">
      <c r="A118" s="8">
        <v>580296</v>
      </c>
      <c r="B118" s="4" t="s">
        <v>21</v>
      </c>
      <c r="C118" s="4" t="s">
        <v>49</v>
      </c>
      <c r="D118" s="4" t="s">
        <v>50</v>
      </c>
      <c r="E118" s="4" t="str">
        <f>VLOOKUP(A118,[1]GSP!$B:$G,6,FALSE)</f>
        <v>คผ.A ปต.</v>
      </c>
      <c r="F118" s="4" t="s">
        <v>34</v>
      </c>
      <c r="G118" s="5">
        <v>92</v>
      </c>
      <c r="H118" s="6" t="s">
        <v>9</v>
      </c>
      <c r="I118" s="6">
        <v>1</v>
      </c>
      <c r="J118" s="5">
        <v>127</v>
      </c>
      <c r="K118" s="5">
        <v>81</v>
      </c>
      <c r="L118" s="6" t="s">
        <v>35</v>
      </c>
      <c r="M118" s="6">
        <v>1</v>
      </c>
      <c r="N118" s="5">
        <v>231</v>
      </c>
      <c r="O118" s="6" t="s">
        <v>43</v>
      </c>
      <c r="P118" s="6">
        <v>1</v>
      </c>
      <c r="Q118" s="5">
        <v>35</v>
      </c>
      <c r="R118" s="6" t="s">
        <v>28</v>
      </c>
      <c r="S118" s="6">
        <v>1</v>
      </c>
      <c r="T118" s="5">
        <v>100</v>
      </c>
      <c r="U118" s="6" t="s">
        <v>29</v>
      </c>
      <c r="V118" s="6">
        <v>1</v>
      </c>
      <c r="W118" s="4">
        <v>5</v>
      </c>
      <c r="X118" s="12" t="s">
        <v>30</v>
      </c>
      <c r="Y118" s="15" t="str">
        <f>VLOOKUP(A118,[2]CVD!$A:$W,23,FALSE)</f>
        <v>ความเสี่ยงต่ำ</v>
      </c>
      <c r="Z118" s="24" t="s">
        <v>359</v>
      </c>
      <c r="AA118" s="23" t="s">
        <v>356</v>
      </c>
      <c r="AB118" s="23" t="s">
        <v>356</v>
      </c>
      <c r="AC118" s="23" t="s">
        <v>355</v>
      </c>
      <c r="AD118" s="27">
        <v>0.75</v>
      </c>
    </row>
    <row r="119" spans="1:30" x14ac:dyDescent="0.45">
      <c r="A119" s="8">
        <v>580298</v>
      </c>
      <c r="B119" s="4" t="s">
        <v>21</v>
      </c>
      <c r="C119" s="4" t="s">
        <v>247</v>
      </c>
      <c r="D119" s="4" t="s">
        <v>248</v>
      </c>
      <c r="E119" s="4" t="str">
        <f>VLOOKUP(A119,[1]GSP!$B:$G,6,FALSE)</f>
        <v>คผ.D ปต.</v>
      </c>
      <c r="F119" s="4" t="s">
        <v>34</v>
      </c>
      <c r="G119" s="5">
        <v>114</v>
      </c>
      <c r="H119" s="6" t="s">
        <v>9</v>
      </c>
      <c r="I119" s="6">
        <v>1</v>
      </c>
      <c r="J119" s="5">
        <v>134</v>
      </c>
      <c r="K119" s="5">
        <v>89</v>
      </c>
      <c r="L119" s="6" t="s">
        <v>35</v>
      </c>
      <c r="M119" s="6">
        <v>1</v>
      </c>
      <c r="N119" s="5">
        <v>168</v>
      </c>
      <c r="O119" s="6" t="s">
        <v>27</v>
      </c>
      <c r="P119" s="6">
        <v>1</v>
      </c>
      <c r="Q119" s="5">
        <v>45</v>
      </c>
      <c r="R119" s="4" t="s">
        <v>74</v>
      </c>
      <c r="S119" s="4"/>
      <c r="T119" s="5">
        <v>82</v>
      </c>
      <c r="U119" s="4" t="s">
        <v>64</v>
      </c>
      <c r="V119" s="4"/>
      <c r="W119" s="4">
        <v>3</v>
      </c>
      <c r="X119" s="13" t="s">
        <v>65</v>
      </c>
      <c r="Y119" s="15" t="str">
        <f>VLOOKUP(A119,[2]CVD!$A:$W,23,FALSE)</f>
        <v>ความเสี่ยงต่ำ</v>
      </c>
      <c r="Z119" s="24" t="s">
        <v>359</v>
      </c>
      <c r="AA119" s="24" t="s">
        <v>358</v>
      </c>
      <c r="AB119" s="24" t="s">
        <v>358</v>
      </c>
      <c r="AC119" s="25" t="s">
        <v>359</v>
      </c>
      <c r="AD119" s="27">
        <v>0</v>
      </c>
    </row>
    <row r="120" spans="1:30" x14ac:dyDescent="0.45">
      <c r="A120" s="8">
        <v>580299</v>
      </c>
      <c r="B120" s="4" t="s">
        <v>21</v>
      </c>
      <c r="C120" s="4" t="s">
        <v>148</v>
      </c>
      <c r="D120" s="4" t="s">
        <v>149</v>
      </c>
      <c r="E120" s="4" t="str">
        <f>VLOOKUP(A120,[1]GSP!$B:$G,6,FALSE)</f>
        <v>คผ.D ปต.</v>
      </c>
      <c r="F120" s="4" t="s">
        <v>34</v>
      </c>
      <c r="G120" s="5">
        <v>95</v>
      </c>
      <c r="H120" s="6" t="s">
        <v>9</v>
      </c>
      <c r="I120" s="6">
        <v>1</v>
      </c>
      <c r="J120" s="5">
        <v>129</v>
      </c>
      <c r="K120" s="5">
        <v>83</v>
      </c>
      <c r="L120" s="6" t="s">
        <v>35</v>
      </c>
      <c r="M120" s="6">
        <v>1</v>
      </c>
      <c r="N120" s="5">
        <v>342</v>
      </c>
      <c r="O120" s="6" t="s">
        <v>43</v>
      </c>
      <c r="P120" s="6">
        <v>1</v>
      </c>
      <c r="Q120" s="5">
        <v>36</v>
      </c>
      <c r="R120" s="6" t="s">
        <v>28</v>
      </c>
      <c r="S120" s="6">
        <v>1</v>
      </c>
      <c r="T120" s="5">
        <v>97</v>
      </c>
      <c r="U120" s="4" t="s">
        <v>64</v>
      </c>
      <c r="V120" s="4"/>
      <c r="W120" s="4">
        <v>4</v>
      </c>
      <c r="X120" s="13" t="s">
        <v>65</v>
      </c>
      <c r="Y120" s="15" t="str">
        <f>VLOOKUP(A120,[2]CVD!$A:$W,23,FALSE)</f>
        <v>ความเสี่ยงต่ำ</v>
      </c>
      <c r="Z120" s="24" t="s">
        <v>359</v>
      </c>
      <c r="AA120" s="23" t="s">
        <v>356</v>
      </c>
      <c r="AB120" s="23" t="s">
        <v>356</v>
      </c>
      <c r="AC120" s="23" t="s">
        <v>355</v>
      </c>
      <c r="AD120" s="27">
        <v>0.75</v>
      </c>
    </row>
    <row r="121" spans="1:30" x14ac:dyDescent="0.45">
      <c r="A121" s="8">
        <v>590001</v>
      </c>
      <c r="B121" s="4" t="s">
        <v>21</v>
      </c>
      <c r="C121" s="4" t="s">
        <v>301</v>
      </c>
      <c r="D121" s="4" t="s">
        <v>302</v>
      </c>
      <c r="E121" s="4" t="str">
        <f>VLOOKUP(A121,[1]GSP!$B:$G,6,FALSE)</f>
        <v>ผบ.วบก.</v>
      </c>
      <c r="F121" s="4" t="s">
        <v>25</v>
      </c>
      <c r="G121" s="5">
        <v>113</v>
      </c>
      <c r="H121" s="6" t="s">
        <v>9</v>
      </c>
      <c r="I121" s="6">
        <v>1</v>
      </c>
      <c r="J121" s="5">
        <v>139</v>
      </c>
      <c r="K121" s="5">
        <v>86</v>
      </c>
      <c r="L121" s="6" t="s">
        <v>35</v>
      </c>
      <c r="M121" s="6">
        <v>1</v>
      </c>
      <c r="N121" s="5">
        <v>184</v>
      </c>
      <c r="O121" s="6" t="s">
        <v>27</v>
      </c>
      <c r="P121" s="6">
        <v>1</v>
      </c>
      <c r="Q121" s="5">
        <v>47</v>
      </c>
      <c r="R121" s="4" t="s">
        <v>74</v>
      </c>
      <c r="S121" s="4"/>
      <c r="T121" s="5">
        <v>82</v>
      </c>
      <c r="U121" s="4" t="s">
        <v>64</v>
      </c>
      <c r="V121" s="4"/>
      <c r="W121" s="4">
        <v>3</v>
      </c>
      <c r="X121" s="13" t="s">
        <v>65</v>
      </c>
      <c r="Y121" s="15" t="str">
        <f>VLOOKUP(A121,[2]CVD!$A:$W,23,FALSE)</f>
        <v>ความเสี่ยงต่ำ</v>
      </c>
      <c r="Z121" s="24" t="s">
        <v>359</v>
      </c>
      <c r="AA121" s="24" t="s">
        <v>358</v>
      </c>
      <c r="AB121" s="24" t="s">
        <v>358</v>
      </c>
      <c r="AC121" s="23" t="s">
        <v>355</v>
      </c>
      <c r="AD121" s="27">
        <v>0.25</v>
      </c>
    </row>
    <row r="122" spans="1:30" x14ac:dyDescent="0.45">
      <c r="A122" s="8">
        <v>590021</v>
      </c>
      <c r="B122" s="4" t="s">
        <v>21</v>
      </c>
      <c r="C122" s="4" t="s">
        <v>103</v>
      </c>
      <c r="D122" s="4" t="s">
        <v>104</v>
      </c>
      <c r="E122" s="4" t="str">
        <f>VLOOKUP(A122,[1]GSP!$B:$G,6,FALSE)</f>
        <v>คผ.C ปล.</v>
      </c>
      <c r="F122" s="4" t="s">
        <v>34</v>
      </c>
      <c r="G122" s="5">
        <v>94</v>
      </c>
      <c r="H122" s="6" t="s">
        <v>9</v>
      </c>
      <c r="I122" s="6">
        <v>1</v>
      </c>
      <c r="J122" s="5">
        <v>135</v>
      </c>
      <c r="K122" s="5">
        <v>80</v>
      </c>
      <c r="L122" s="6" t="s">
        <v>35</v>
      </c>
      <c r="M122" s="6">
        <v>1</v>
      </c>
      <c r="N122" s="5">
        <v>174</v>
      </c>
      <c r="O122" s="6" t="s">
        <v>27</v>
      </c>
      <c r="P122" s="6">
        <v>1</v>
      </c>
      <c r="Q122" s="5">
        <v>34</v>
      </c>
      <c r="R122" s="6" t="s">
        <v>28</v>
      </c>
      <c r="S122" s="6">
        <v>1</v>
      </c>
      <c r="T122" s="5">
        <v>91</v>
      </c>
      <c r="U122" s="4" t="s">
        <v>64</v>
      </c>
      <c r="V122" s="4"/>
      <c r="W122" s="4">
        <v>4</v>
      </c>
      <c r="X122" s="13" t="s">
        <v>65</v>
      </c>
      <c r="Y122" s="15" t="str">
        <f>VLOOKUP(A122,[2]CVD!$A:$W,23,FALSE)</f>
        <v>ความเสี่ยงต่ำ</v>
      </c>
      <c r="Z122" s="24" t="s">
        <v>359</v>
      </c>
      <c r="AA122" s="24" t="s">
        <v>358</v>
      </c>
      <c r="AB122" s="24" t="s">
        <v>358</v>
      </c>
      <c r="AC122" s="23" t="s">
        <v>355</v>
      </c>
      <c r="AD122" s="27">
        <v>0.25</v>
      </c>
    </row>
    <row r="123" spans="1:30" x14ac:dyDescent="0.45">
      <c r="A123" s="8">
        <v>590063</v>
      </c>
      <c r="B123" s="4" t="s">
        <v>21</v>
      </c>
      <c r="C123" s="4" t="s">
        <v>66</v>
      </c>
      <c r="D123" s="4" t="s">
        <v>67</v>
      </c>
      <c r="E123" s="4" t="str">
        <f>VLOOKUP(A123,[1]GSP!$B:$G,6,FALSE)</f>
        <v>บค.วบก.</v>
      </c>
      <c r="F123" s="4" t="s">
        <v>25</v>
      </c>
      <c r="G123" s="5">
        <v>92</v>
      </c>
      <c r="H123" s="6" t="s">
        <v>9</v>
      </c>
      <c r="I123" s="6">
        <v>1</v>
      </c>
      <c r="J123" s="5">
        <v>133</v>
      </c>
      <c r="K123" s="5">
        <v>74</v>
      </c>
      <c r="L123" s="6" t="s">
        <v>35</v>
      </c>
      <c r="M123" s="6">
        <v>1</v>
      </c>
      <c r="N123" s="5">
        <v>320</v>
      </c>
      <c r="O123" s="6" t="s">
        <v>43</v>
      </c>
      <c r="P123" s="6">
        <v>1</v>
      </c>
      <c r="Q123" s="5">
        <v>39</v>
      </c>
      <c r="R123" s="6" t="s">
        <v>28</v>
      </c>
      <c r="S123" s="6">
        <v>1</v>
      </c>
      <c r="T123" s="5">
        <v>92</v>
      </c>
      <c r="U123" s="4" t="s">
        <v>64</v>
      </c>
      <c r="V123" s="4"/>
      <c r="W123" s="4">
        <v>4</v>
      </c>
      <c r="X123" s="13" t="s">
        <v>65</v>
      </c>
      <c r="Y123" s="15" t="str">
        <f>VLOOKUP(A123,[2]CVD!$A:$W,23,FALSE)</f>
        <v>ความเสี่ยงต่ำ</v>
      </c>
      <c r="Z123" s="24" t="s">
        <v>359</v>
      </c>
      <c r="AA123" s="24" t="s">
        <v>358</v>
      </c>
      <c r="AB123" s="24" t="s">
        <v>358</v>
      </c>
      <c r="AC123" s="25" t="s">
        <v>359</v>
      </c>
      <c r="AD123" s="27">
        <v>0</v>
      </c>
    </row>
    <row r="124" spans="1:30" x14ac:dyDescent="0.45">
      <c r="A124" s="8">
        <v>590139</v>
      </c>
      <c r="B124" s="4" t="s">
        <v>21</v>
      </c>
      <c r="C124" s="4" t="s">
        <v>172</v>
      </c>
      <c r="D124" s="4" t="s">
        <v>173</v>
      </c>
      <c r="E124" s="4" t="str">
        <f>VLOOKUP(A124,[1]GSP!$B:$G,6,FALSE)</f>
        <v>ผ.ปก.C ปอ.</v>
      </c>
      <c r="F124" s="4" t="s">
        <v>34</v>
      </c>
      <c r="G124" s="5">
        <v>91</v>
      </c>
      <c r="H124" s="6" t="s">
        <v>9</v>
      </c>
      <c r="I124" s="6">
        <v>1</v>
      </c>
      <c r="J124" s="5">
        <v>133</v>
      </c>
      <c r="K124" s="5">
        <v>71</v>
      </c>
      <c r="L124" s="6" t="s">
        <v>35</v>
      </c>
      <c r="M124" s="6">
        <v>1</v>
      </c>
      <c r="N124" s="5">
        <v>234</v>
      </c>
      <c r="O124" s="6" t="s">
        <v>43</v>
      </c>
      <c r="P124" s="6">
        <v>1</v>
      </c>
      <c r="Q124" s="5">
        <v>48</v>
      </c>
      <c r="R124" s="4" t="s">
        <v>74</v>
      </c>
      <c r="S124" s="4"/>
      <c r="T124" s="5">
        <v>84</v>
      </c>
      <c r="U124" s="4" t="s">
        <v>64</v>
      </c>
      <c r="V124" s="4"/>
      <c r="W124" s="4">
        <v>3</v>
      </c>
      <c r="X124" s="13" t="s">
        <v>65</v>
      </c>
      <c r="Y124" s="15" t="str">
        <f>VLOOKUP(A124,[2]CVD!$A:$W,23,FALSE)</f>
        <v>ความเสี่ยงต่ำ</v>
      </c>
      <c r="Z124" s="23" t="s">
        <v>355</v>
      </c>
      <c r="AA124" s="23" t="s">
        <v>356</v>
      </c>
      <c r="AB124" s="23" t="s">
        <v>356</v>
      </c>
      <c r="AC124" s="23" t="s">
        <v>355</v>
      </c>
      <c r="AD124" s="27">
        <v>1</v>
      </c>
    </row>
    <row r="125" spans="1:30" x14ac:dyDescent="0.45">
      <c r="A125" s="8">
        <v>600015</v>
      </c>
      <c r="B125" s="4" t="s">
        <v>21</v>
      </c>
      <c r="C125" s="4" t="s">
        <v>68</v>
      </c>
      <c r="D125" s="4" t="s">
        <v>69</v>
      </c>
      <c r="E125" s="4" t="str">
        <f>VLOOKUP(A125,[1]GSP!$B:$G,6,FALSE)</f>
        <v>ผ.ปก.D ปก.</v>
      </c>
      <c r="F125" s="4" t="s">
        <v>25</v>
      </c>
      <c r="G125" s="5">
        <v>99</v>
      </c>
      <c r="H125" s="6" t="s">
        <v>9</v>
      </c>
      <c r="I125" s="6">
        <v>1</v>
      </c>
      <c r="J125" s="5">
        <v>122</v>
      </c>
      <c r="K125" s="5">
        <v>79</v>
      </c>
      <c r="L125" s="4" t="s">
        <v>70</v>
      </c>
      <c r="M125" s="4"/>
      <c r="N125" s="5">
        <v>173</v>
      </c>
      <c r="O125" s="6" t="s">
        <v>27</v>
      </c>
      <c r="P125" s="6">
        <v>1</v>
      </c>
      <c r="Q125" s="5">
        <v>38</v>
      </c>
      <c r="R125" s="6" t="s">
        <v>28</v>
      </c>
      <c r="S125" s="6">
        <v>1</v>
      </c>
      <c r="T125" s="5">
        <v>188</v>
      </c>
      <c r="U125" s="6" t="s">
        <v>58</v>
      </c>
      <c r="V125" s="6">
        <v>1</v>
      </c>
      <c r="W125" s="4">
        <v>4</v>
      </c>
      <c r="X125" s="13" t="s">
        <v>65</v>
      </c>
      <c r="Y125" s="15" t="str">
        <f>VLOOKUP(A125,[2]CVD!$A:$W,23,FALSE)</f>
        <v>ความเสี่ยงต่ำ</v>
      </c>
      <c r="Z125" s="24" t="s">
        <v>359</v>
      </c>
      <c r="AA125" s="24" t="s">
        <v>358</v>
      </c>
      <c r="AB125" s="24" t="s">
        <v>358</v>
      </c>
      <c r="AC125" s="25" t="s">
        <v>359</v>
      </c>
      <c r="AD125" s="27">
        <v>0</v>
      </c>
    </row>
    <row r="126" spans="1:30" x14ac:dyDescent="0.45">
      <c r="A126" s="8">
        <v>600122</v>
      </c>
      <c r="B126" s="4" t="s">
        <v>21</v>
      </c>
      <c r="C126" s="4" t="s">
        <v>137</v>
      </c>
      <c r="D126" s="4" t="s">
        <v>138</v>
      </c>
      <c r="E126" s="4" t="str">
        <f>VLOOKUP(A126,[1]GSP!$B:$G,6,FALSE)</f>
        <v>วผ.ทผก.</v>
      </c>
      <c r="F126" s="4" t="s">
        <v>39</v>
      </c>
      <c r="G126" s="5">
        <v>94</v>
      </c>
      <c r="H126" s="6" t="s">
        <v>9</v>
      </c>
      <c r="I126" s="6">
        <v>1</v>
      </c>
      <c r="J126" s="5">
        <v>130</v>
      </c>
      <c r="K126" s="5">
        <v>72</v>
      </c>
      <c r="L126" s="6" t="s">
        <v>35</v>
      </c>
      <c r="M126" s="6">
        <v>1</v>
      </c>
      <c r="N126" s="5">
        <v>253</v>
      </c>
      <c r="O126" s="6" t="s">
        <v>43</v>
      </c>
      <c r="P126" s="6">
        <v>1</v>
      </c>
      <c r="Q126" s="5">
        <v>35</v>
      </c>
      <c r="R126" s="6" t="s">
        <v>28</v>
      </c>
      <c r="S126" s="6">
        <v>1</v>
      </c>
      <c r="T126" s="5">
        <v>83</v>
      </c>
      <c r="U126" s="4" t="s">
        <v>64</v>
      </c>
      <c r="V126" s="4"/>
      <c r="W126" s="4">
        <v>4</v>
      </c>
      <c r="X126" s="13" t="s">
        <v>65</v>
      </c>
      <c r="Y126" s="15" t="str">
        <f>VLOOKUP(A126,[2]CVD!$A:$W,23,FALSE)</f>
        <v>ความเสี่ยงต่ำ</v>
      </c>
      <c r="Z126" s="24" t="s">
        <v>359</v>
      </c>
      <c r="AA126" s="24" t="s">
        <v>358</v>
      </c>
      <c r="AB126" s="24" t="s">
        <v>358</v>
      </c>
      <c r="AC126" s="25" t="s">
        <v>359</v>
      </c>
      <c r="AD126" s="27">
        <v>0</v>
      </c>
    </row>
    <row r="127" spans="1:30" x14ac:dyDescent="0.45">
      <c r="A127" s="8">
        <v>610040</v>
      </c>
      <c r="B127" s="4" t="s">
        <v>21</v>
      </c>
      <c r="C127" s="4" t="s">
        <v>267</v>
      </c>
      <c r="D127" s="4" t="s">
        <v>268</v>
      </c>
      <c r="E127" s="4" t="str">
        <f>VLOOKUP(A127,[1]GSP!$B:$G,6,FALSE)</f>
        <v>วผ.ทผก.</v>
      </c>
      <c r="F127" s="4" t="s">
        <v>39</v>
      </c>
      <c r="G127" s="5">
        <v>102</v>
      </c>
      <c r="H127" s="6" t="s">
        <v>9</v>
      </c>
      <c r="I127" s="6">
        <v>1</v>
      </c>
      <c r="J127" s="5">
        <v>134</v>
      </c>
      <c r="K127" s="5">
        <v>79</v>
      </c>
      <c r="L127" s="6" t="s">
        <v>35</v>
      </c>
      <c r="M127" s="6">
        <v>1</v>
      </c>
      <c r="N127" s="5">
        <v>299</v>
      </c>
      <c r="O127" s="6" t="s">
        <v>43</v>
      </c>
      <c r="P127" s="6">
        <v>1</v>
      </c>
      <c r="Q127" s="5">
        <v>34</v>
      </c>
      <c r="R127" s="6" t="s">
        <v>28</v>
      </c>
      <c r="S127" s="6">
        <v>1</v>
      </c>
      <c r="T127" s="5">
        <v>83</v>
      </c>
      <c r="U127" s="4" t="s">
        <v>64</v>
      </c>
      <c r="V127" s="4"/>
      <c r="W127" s="4">
        <v>4</v>
      </c>
      <c r="X127" s="13" t="s">
        <v>65</v>
      </c>
      <c r="Y127" s="15" t="str">
        <f>VLOOKUP(A127,[2]CVD!$A:$W,23,FALSE)</f>
        <v>ความเสี่ยงต่ำ</v>
      </c>
      <c r="Z127" s="24" t="s">
        <v>359</v>
      </c>
      <c r="AA127" s="24" t="s">
        <v>358</v>
      </c>
      <c r="AB127" s="24" t="s">
        <v>358</v>
      </c>
      <c r="AC127" s="23" t="s">
        <v>355</v>
      </c>
      <c r="AD127" s="27">
        <v>0.25</v>
      </c>
    </row>
    <row r="128" spans="1:30" x14ac:dyDescent="0.45">
      <c r="A128" s="8">
        <v>620036</v>
      </c>
      <c r="B128" s="4" t="s">
        <v>21</v>
      </c>
      <c r="C128" s="4" t="s">
        <v>194</v>
      </c>
      <c r="D128" s="4" t="s">
        <v>195</v>
      </c>
      <c r="E128" s="4" t="str">
        <f>VLOOKUP(A128,[1]GSP!$B:$G,6,FALSE)</f>
        <v>บง.วบก.</v>
      </c>
      <c r="F128" s="4" t="s">
        <v>25</v>
      </c>
      <c r="G128" s="5">
        <v>105</v>
      </c>
      <c r="H128" s="6" t="s">
        <v>9</v>
      </c>
      <c r="I128" s="6">
        <v>1</v>
      </c>
      <c r="J128" s="5">
        <v>134</v>
      </c>
      <c r="K128" s="5">
        <v>79</v>
      </c>
      <c r="L128" s="6" t="s">
        <v>35</v>
      </c>
      <c r="M128" s="6">
        <v>1</v>
      </c>
      <c r="N128" s="5">
        <v>320</v>
      </c>
      <c r="O128" s="6" t="s">
        <v>43</v>
      </c>
      <c r="P128" s="6">
        <v>1</v>
      </c>
      <c r="Q128" s="5">
        <v>36</v>
      </c>
      <c r="R128" s="6" t="s">
        <v>28</v>
      </c>
      <c r="S128" s="6">
        <v>1</v>
      </c>
      <c r="T128" s="5">
        <v>95</v>
      </c>
      <c r="U128" s="4" t="s">
        <v>64</v>
      </c>
      <c r="V128" s="4"/>
      <c r="W128" s="4">
        <v>4</v>
      </c>
      <c r="X128" s="13" t="s">
        <v>65</v>
      </c>
      <c r="Y128" s="15" t="str">
        <f>VLOOKUP(A128,[2]CVD!$A:$W,23,FALSE)</f>
        <v>ความเสี่ยงต่ำ</v>
      </c>
      <c r="Z128" s="23" t="s">
        <v>355</v>
      </c>
      <c r="AA128" s="23" t="s">
        <v>356</v>
      </c>
      <c r="AB128" s="23" t="s">
        <v>356</v>
      </c>
      <c r="AC128" s="23" t="s">
        <v>355</v>
      </c>
      <c r="AD128" s="27">
        <v>1</v>
      </c>
    </row>
    <row r="129" spans="1:30" x14ac:dyDescent="0.45">
      <c r="A129" s="8">
        <v>640023</v>
      </c>
      <c r="B129" s="4" t="s">
        <v>21</v>
      </c>
      <c r="C129" s="4" t="s">
        <v>62</v>
      </c>
      <c r="D129" s="4" t="s">
        <v>63</v>
      </c>
      <c r="E129" s="4" t="str">
        <f>VLOOKUP(A129,[1]GSP!$B:$G,6,FALSE)</f>
        <v>บง.วบก.</v>
      </c>
      <c r="F129" s="4" t="s">
        <v>25</v>
      </c>
      <c r="G129" s="5">
        <v>101</v>
      </c>
      <c r="H129" s="6" t="s">
        <v>9</v>
      </c>
      <c r="I129" s="6">
        <v>1</v>
      </c>
      <c r="J129" s="5">
        <v>141</v>
      </c>
      <c r="K129" s="5">
        <v>79</v>
      </c>
      <c r="L129" s="6" t="s">
        <v>26</v>
      </c>
      <c r="M129" s="6">
        <v>1</v>
      </c>
      <c r="N129" s="5">
        <v>151</v>
      </c>
      <c r="O129" s="6" t="s">
        <v>27</v>
      </c>
      <c r="P129" s="6">
        <v>1</v>
      </c>
      <c r="Q129" s="5">
        <v>38</v>
      </c>
      <c r="R129" s="6" t="s">
        <v>28</v>
      </c>
      <c r="S129" s="6">
        <v>1</v>
      </c>
      <c r="T129" s="5">
        <v>89</v>
      </c>
      <c r="U129" s="4" t="s">
        <v>64</v>
      </c>
      <c r="V129" s="4"/>
      <c r="W129" s="4">
        <v>4</v>
      </c>
      <c r="X129" s="13" t="s">
        <v>65</v>
      </c>
      <c r="Y129" s="15" t="str">
        <f>VLOOKUP(A129,[2]CVD!$A:$W,23,FALSE)</f>
        <v>ความเสี่ยงต่ำ</v>
      </c>
      <c r="Z129" s="24" t="s">
        <v>359</v>
      </c>
      <c r="AA129" s="24" t="s">
        <v>358</v>
      </c>
      <c r="AB129" s="24" t="s">
        <v>358</v>
      </c>
      <c r="AC129" s="25" t="s">
        <v>359</v>
      </c>
      <c r="AD129" s="27">
        <v>0</v>
      </c>
    </row>
    <row r="130" spans="1:30" x14ac:dyDescent="0.45">
      <c r="A130" s="8">
        <v>640055</v>
      </c>
      <c r="B130" s="4" t="s">
        <v>21</v>
      </c>
      <c r="C130" s="4" t="s">
        <v>143</v>
      </c>
      <c r="D130" s="4" t="s">
        <v>144</v>
      </c>
      <c r="E130" s="4" t="str">
        <f>VLOOKUP(A130,[1]GSP!$B:$G,6,FALSE)</f>
        <v>ผ.คผ.C ปผ.</v>
      </c>
      <c r="F130" s="4" t="s">
        <v>34</v>
      </c>
      <c r="G130" s="5">
        <v>95</v>
      </c>
      <c r="H130" s="6" t="s">
        <v>9</v>
      </c>
      <c r="I130" s="6">
        <v>1</v>
      </c>
      <c r="J130" s="5">
        <v>107</v>
      </c>
      <c r="K130" s="5">
        <v>65</v>
      </c>
      <c r="L130" s="4" t="s">
        <v>70</v>
      </c>
      <c r="M130" s="4"/>
      <c r="N130" s="5">
        <v>226</v>
      </c>
      <c r="O130" s="6" t="s">
        <v>43</v>
      </c>
      <c r="P130" s="6">
        <v>1</v>
      </c>
      <c r="Q130" s="5">
        <v>27</v>
      </c>
      <c r="R130" s="6" t="s">
        <v>28</v>
      </c>
      <c r="S130" s="6">
        <v>1</v>
      </c>
      <c r="T130" s="5">
        <v>86</v>
      </c>
      <c r="U130" s="4" t="s">
        <v>64</v>
      </c>
      <c r="V130" s="4"/>
      <c r="W130" s="4">
        <v>3</v>
      </c>
      <c r="X130" s="13" t="s">
        <v>65</v>
      </c>
      <c r="Y130" s="15" t="str">
        <f>VLOOKUP(A130,[2]CVD!$A:$W,23,FALSE)</f>
        <v>ความเสี่ยงต่ำ</v>
      </c>
      <c r="Z130" s="24" t="s">
        <v>359</v>
      </c>
      <c r="AA130" s="23" t="s">
        <v>356</v>
      </c>
      <c r="AB130" s="23" t="s">
        <v>356</v>
      </c>
      <c r="AC130" s="25" t="s">
        <v>359</v>
      </c>
      <c r="AD130" s="27">
        <v>0.5</v>
      </c>
    </row>
    <row r="131" spans="1:30" x14ac:dyDescent="0.45">
      <c r="A131" s="8">
        <v>640062</v>
      </c>
      <c r="B131" s="4" t="s">
        <v>21</v>
      </c>
      <c r="C131" s="4" t="s">
        <v>295</v>
      </c>
      <c r="D131" s="4" t="s">
        <v>296</v>
      </c>
      <c r="E131" s="4" t="str">
        <f>VLOOKUP(A131,[1]GSP!$B:$G,6,FALSE)</f>
        <v>พย.บรก.</v>
      </c>
      <c r="F131" s="4" t="s">
        <v>39</v>
      </c>
      <c r="G131" s="5">
        <v>94</v>
      </c>
      <c r="H131" s="6" t="s">
        <v>9</v>
      </c>
      <c r="I131" s="6">
        <v>1</v>
      </c>
      <c r="J131" s="5">
        <v>127</v>
      </c>
      <c r="K131" s="5">
        <v>83</v>
      </c>
      <c r="L131" s="6" t="s">
        <v>35</v>
      </c>
      <c r="M131" s="6">
        <v>1</v>
      </c>
      <c r="N131" s="5">
        <v>174</v>
      </c>
      <c r="O131" s="6" t="s">
        <v>27</v>
      </c>
      <c r="P131" s="6">
        <v>1</v>
      </c>
      <c r="Q131" s="5">
        <v>62</v>
      </c>
      <c r="R131" s="4" t="s">
        <v>82</v>
      </c>
      <c r="S131" s="4"/>
      <c r="T131" s="5">
        <v>79</v>
      </c>
      <c r="U131" s="4" t="s">
        <v>64</v>
      </c>
      <c r="V131" s="4"/>
      <c r="W131" s="4">
        <v>3</v>
      </c>
      <c r="X131" s="13" t="s">
        <v>65</v>
      </c>
      <c r="Y131" s="15" t="str">
        <f>VLOOKUP(A131,[2]CVD!$A:$W,23,FALSE)</f>
        <v>ความเสี่ยงต่ำ</v>
      </c>
      <c r="Z131" s="23" t="s">
        <v>355</v>
      </c>
      <c r="AA131" s="23" t="s">
        <v>356</v>
      </c>
      <c r="AB131" s="24" t="s">
        <v>358</v>
      </c>
      <c r="AC131" s="23" t="s">
        <v>355</v>
      </c>
      <c r="AD131" s="27">
        <v>0.75</v>
      </c>
    </row>
    <row r="132" spans="1:30" x14ac:dyDescent="0.45">
      <c r="A132" s="8">
        <v>640082</v>
      </c>
      <c r="B132" s="4" t="s">
        <v>21</v>
      </c>
      <c r="C132" s="4" t="s">
        <v>101</v>
      </c>
      <c r="D132" s="4" t="s">
        <v>102</v>
      </c>
      <c r="E132" s="4" t="str">
        <f>VLOOKUP(A132,[1]GSP!$B:$G,6,FALSE)</f>
        <v>คผ.D ปล.</v>
      </c>
      <c r="F132" s="4" t="s">
        <v>34</v>
      </c>
      <c r="G132" s="5">
        <v>91</v>
      </c>
      <c r="H132" s="6" t="s">
        <v>9</v>
      </c>
      <c r="I132" s="6">
        <v>1</v>
      </c>
      <c r="J132" s="5">
        <v>109</v>
      </c>
      <c r="K132" s="5">
        <v>68</v>
      </c>
      <c r="L132" s="4" t="s">
        <v>70</v>
      </c>
      <c r="M132" s="4"/>
      <c r="N132" s="5">
        <v>346</v>
      </c>
      <c r="O132" s="6" t="s">
        <v>43</v>
      </c>
      <c r="P132" s="6">
        <v>1</v>
      </c>
      <c r="Q132" s="5">
        <v>36</v>
      </c>
      <c r="R132" s="6" t="s">
        <v>28</v>
      </c>
      <c r="S132" s="6">
        <v>1</v>
      </c>
      <c r="T132" s="5">
        <v>101</v>
      </c>
      <c r="U132" s="6" t="s">
        <v>29</v>
      </c>
      <c r="V132" s="6">
        <v>1</v>
      </c>
      <c r="W132" s="4">
        <v>4</v>
      </c>
      <c r="X132" s="13" t="s">
        <v>65</v>
      </c>
      <c r="Y132" s="15" t="str">
        <f>VLOOKUP(A132,[2]CVD!$A:$W,23,FALSE)</f>
        <v>ความเสี่ยงต่ำ</v>
      </c>
      <c r="Z132" s="24" t="s">
        <v>359</v>
      </c>
      <c r="AA132" s="24" t="s">
        <v>358</v>
      </c>
      <c r="AB132" s="24" t="s">
        <v>358</v>
      </c>
      <c r="AC132" s="23" t="s">
        <v>355</v>
      </c>
      <c r="AD132" s="27">
        <v>0.25</v>
      </c>
    </row>
    <row r="133" spans="1:30" x14ac:dyDescent="0.45">
      <c r="A133" s="8">
        <v>650024</v>
      </c>
      <c r="B133" s="4" t="s">
        <v>21</v>
      </c>
      <c r="C133" s="4" t="s">
        <v>134</v>
      </c>
      <c r="D133" s="4" t="s">
        <v>135</v>
      </c>
      <c r="E133" s="4" t="str">
        <f>VLOOKUP(A133,[1]GSP!$B:$G,6,FALSE)</f>
        <v>พย.บรก.</v>
      </c>
      <c r="F133" s="4" t="s">
        <v>39</v>
      </c>
      <c r="G133" s="5">
        <v>114</v>
      </c>
      <c r="H133" s="6" t="s">
        <v>9</v>
      </c>
      <c r="I133" s="6">
        <v>1</v>
      </c>
      <c r="J133" s="5">
        <v>132</v>
      </c>
      <c r="K133" s="5">
        <v>76</v>
      </c>
      <c r="L133" s="6" t="s">
        <v>35</v>
      </c>
      <c r="M133" s="6">
        <v>1</v>
      </c>
      <c r="N133" s="5">
        <v>142</v>
      </c>
      <c r="O133" s="4" t="s">
        <v>74</v>
      </c>
      <c r="P133" s="4"/>
      <c r="Q133" s="5">
        <v>35</v>
      </c>
      <c r="R133" s="6" t="s">
        <v>28</v>
      </c>
      <c r="S133" s="6">
        <v>1</v>
      </c>
      <c r="T133" s="5">
        <v>95</v>
      </c>
      <c r="U133" s="4" t="s">
        <v>64</v>
      </c>
      <c r="V133" s="4"/>
      <c r="W133" s="4">
        <v>3</v>
      </c>
      <c r="X133" s="13" t="s">
        <v>65</v>
      </c>
      <c r="Y133" s="15" t="str">
        <f>VLOOKUP(A133,[2]CVD!$A:$W,23,FALSE)</f>
        <v>ความเสี่ยงต่ำ</v>
      </c>
      <c r="Z133" s="23" t="s">
        <v>355</v>
      </c>
      <c r="AA133" s="23" t="s">
        <v>356</v>
      </c>
      <c r="AB133" s="23" t="s">
        <v>356</v>
      </c>
      <c r="AC133" s="23" t="s">
        <v>355</v>
      </c>
      <c r="AD133" s="27">
        <v>1</v>
      </c>
    </row>
    <row r="134" spans="1:30" x14ac:dyDescent="0.45">
      <c r="A134" s="8">
        <v>650099</v>
      </c>
      <c r="B134" s="4" t="s">
        <v>21</v>
      </c>
      <c r="C134" s="4" t="s">
        <v>223</v>
      </c>
      <c r="D134" s="4" t="s">
        <v>224</v>
      </c>
      <c r="E134" s="4" t="str">
        <f>VLOOKUP(A134,[1]GSP!$B:$G,6,FALSE)</f>
        <v>บฟ.วบก.</v>
      </c>
      <c r="F134" s="4" t="s">
        <v>25</v>
      </c>
      <c r="G134" s="5">
        <v>88</v>
      </c>
      <c r="H134" s="4" t="s">
        <v>171</v>
      </c>
      <c r="I134" s="4"/>
      <c r="J134" s="5">
        <v>137</v>
      </c>
      <c r="K134" s="5">
        <v>60</v>
      </c>
      <c r="L134" s="6" t="s">
        <v>35</v>
      </c>
      <c r="M134" s="6">
        <v>1</v>
      </c>
      <c r="N134" s="5">
        <v>176</v>
      </c>
      <c r="O134" s="6" t="s">
        <v>27</v>
      </c>
      <c r="P134" s="6">
        <v>1</v>
      </c>
      <c r="Q134" s="5">
        <v>45</v>
      </c>
      <c r="R134" s="4" t="s">
        <v>74</v>
      </c>
      <c r="S134" s="4"/>
      <c r="T134" s="5">
        <v>114</v>
      </c>
      <c r="U134" s="6" t="s">
        <v>29</v>
      </c>
      <c r="V134" s="6">
        <v>1</v>
      </c>
      <c r="W134" s="4">
        <v>3</v>
      </c>
      <c r="X134" s="13" t="s">
        <v>65</v>
      </c>
      <c r="Y134" s="15" t="str">
        <f>VLOOKUP(A134,[2]CVD!$A:$W,23,FALSE)</f>
        <v>ความเสี่ยงต่ำ</v>
      </c>
      <c r="Z134" s="24" t="s">
        <v>359</v>
      </c>
      <c r="AA134" s="24" t="s">
        <v>358</v>
      </c>
      <c r="AB134" s="24" t="s">
        <v>358</v>
      </c>
      <c r="AC134" s="25" t="s">
        <v>359</v>
      </c>
      <c r="AD134" s="27">
        <v>0</v>
      </c>
    </row>
    <row r="135" spans="1:30" x14ac:dyDescent="0.45">
      <c r="A135" s="8">
        <v>660049</v>
      </c>
      <c r="B135" s="4" t="s">
        <v>21</v>
      </c>
      <c r="C135" s="4" t="s">
        <v>169</v>
      </c>
      <c r="D135" s="4" t="s">
        <v>170</v>
      </c>
      <c r="E135" s="4" t="str">
        <f>VLOOKUP(A135,[1]GSP!$B:$G,6,FALSE)</f>
        <v>บง.วบก.</v>
      </c>
      <c r="F135" s="4" t="s">
        <v>25</v>
      </c>
      <c r="G135" s="5">
        <v>79</v>
      </c>
      <c r="H135" s="4" t="s">
        <v>171</v>
      </c>
      <c r="I135" s="4"/>
      <c r="J135" s="5">
        <v>114</v>
      </c>
      <c r="K135" s="5">
        <v>86</v>
      </c>
      <c r="L135" s="6" t="s">
        <v>35</v>
      </c>
      <c r="M135" s="6">
        <v>1</v>
      </c>
      <c r="N135" s="5">
        <v>263</v>
      </c>
      <c r="O135" s="6" t="s">
        <v>43</v>
      </c>
      <c r="P135" s="6">
        <v>1</v>
      </c>
      <c r="Q135" s="5">
        <v>36</v>
      </c>
      <c r="R135" s="6" t="s">
        <v>28</v>
      </c>
      <c r="S135" s="6">
        <v>1</v>
      </c>
      <c r="T135" s="5">
        <v>90</v>
      </c>
      <c r="U135" s="4" t="s">
        <v>64</v>
      </c>
      <c r="V135" s="4"/>
      <c r="W135" s="4">
        <v>3</v>
      </c>
      <c r="X135" s="13" t="s">
        <v>65</v>
      </c>
      <c r="Y135" s="15" t="str">
        <f>VLOOKUP(A135,[2]CVD!$A:$W,23,FALSE)</f>
        <v>ความเสี่ยงต่ำ</v>
      </c>
      <c r="Z135" s="24" t="s">
        <v>359</v>
      </c>
      <c r="AA135" s="24" t="s">
        <v>358</v>
      </c>
      <c r="AB135" s="24" t="s">
        <v>358</v>
      </c>
      <c r="AC135" s="25" t="s">
        <v>359</v>
      </c>
      <c r="AD135" s="27">
        <v>0</v>
      </c>
    </row>
    <row r="136" spans="1:30" x14ac:dyDescent="0.45">
      <c r="A136" s="8">
        <v>660052</v>
      </c>
      <c r="B136" s="4" t="s">
        <v>21</v>
      </c>
      <c r="C136" s="4" t="s">
        <v>110</v>
      </c>
      <c r="D136" s="4" t="s">
        <v>111</v>
      </c>
      <c r="E136" s="4" t="str">
        <f>VLOOKUP(A136,[1]GSP!$B:$G,6,FALSE)</f>
        <v>ทน.ทผก.</v>
      </c>
      <c r="F136" s="4" t="s">
        <v>39</v>
      </c>
      <c r="G136" s="5">
        <v>96</v>
      </c>
      <c r="H136" s="6" t="s">
        <v>9</v>
      </c>
      <c r="I136" s="6">
        <v>1</v>
      </c>
      <c r="J136" s="5">
        <v>135</v>
      </c>
      <c r="K136" s="5">
        <v>86</v>
      </c>
      <c r="L136" s="6" t="s">
        <v>35</v>
      </c>
      <c r="M136" s="6">
        <v>1</v>
      </c>
      <c r="N136" s="5">
        <v>158</v>
      </c>
      <c r="O136" s="6" t="s">
        <v>27</v>
      </c>
      <c r="P136" s="6">
        <v>1</v>
      </c>
      <c r="Q136" s="5">
        <v>38</v>
      </c>
      <c r="R136" s="6" t="s">
        <v>28</v>
      </c>
      <c r="S136" s="6">
        <v>1</v>
      </c>
      <c r="T136" s="5">
        <v>90</v>
      </c>
      <c r="U136" s="4" t="s">
        <v>64</v>
      </c>
      <c r="V136" s="4"/>
      <c r="W136" s="4">
        <v>4</v>
      </c>
      <c r="X136" s="13" t="s">
        <v>65</v>
      </c>
      <c r="Y136" s="15" t="str">
        <f>VLOOKUP(A136,[2]CVD!$A:$W,23,FALSE)</f>
        <v>ความเสี่ยงต่ำ</v>
      </c>
      <c r="Z136" s="23" t="s">
        <v>355</v>
      </c>
      <c r="AA136" s="23" t="s">
        <v>356</v>
      </c>
      <c r="AB136" s="23" t="s">
        <v>356</v>
      </c>
      <c r="AC136" s="25" t="s">
        <v>359</v>
      </c>
      <c r="AD136" s="27">
        <v>0.75</v>
      </c>
    </row>
  </sheetData>
  <autoFilter ref="A5:AC136" xr:uid="{5587D1D3-DC6F-461B-978C-82DD772A989D}">
    <sortState xmlns:xlrd2="http://schemas.microsoft.com/office/spreadsheetml/2017/richdata2" ref="A6:AC136">
      <sortCondition ref="A5"/>
    </sortState>
  </autoFilter>
  <mergeCells count="1">
    <mergeCell ref="Z4:AD4"/>
  </mergeCells>
  <phoneticPr fontId="10" type="noConversion"/>
  <conditionalFormatting sqref="A1:A1048576">
    <cfRule type="timePeriod" dxfId="27" priority="9" timePeriod="yesterday">
      <formula>FLOOR(A1,1)=TODAY()-1</formula>
    </cfRule>
    <cfRule type="duplicateValues" dxfId="26" priority="10"/>
    <cfRule type="duplicateValues" dxfId="25" priority="11"/>
    <cfRule type="duplicateValues" dxfId="24" priority="12"/>
  </conditionalFormatting>
  <conditionalFormatting sqref="A6:A136">
    <cfRule type="duplicateValues" dxfId="23" priority="2"/>
    <cfRule type="duplicateValues" dxfId="22" priority="3"/>
  </conditionalFormatting>
  <conditionalFormatting sqref="Z4">
    <cfRule type="timePeriod" dxfId="21" priority="5" timePeriod="yesterday">
      <formula>FLOOR(Z4,1)=TODAY()-1</formula>
    </cfRule>
    <cfRule type="duplicateValues" dxfId="20" priority="6"/>
    <cfRule type="duplicateValues" dxfId="19" priority="7"/>
  </conditionalFormatting>
  <conditionalFormatting sqref="AE130:AE204 A6:A136">
    <cfRule type="duplicateValues" dxfId="1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1F6A-E066-41CF-986B-C40A95F4B391}">
  <sheetPr>
    <tabColor rgb="FFFFC000"/>
  </sheetPr>
  <dimension ref="A1:H24"/>
  <sheetViews>
    <sheetView workbookViewId="0">
      <selection activeCell="L15" sqref="L15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530152</v>
      </c>
      <c r="B3" s="4" t="s">
        <v>21</v>
      </c>
      <c r="C3" s="4" t="s">
        <v>40</v>
      </c>
      <c r="D3" s="4" t="s">
        <v>41</v>
      </c>
      <c r="E3" s="4" t="s">
        <v>42</v>
      </c>
      <c r="F3" s="4" t="s">
        <v>34</v>
      </c>
      <c r="G3" s="12" t="s">
        <v>30</v>
      </c>
      <c r="H3" s="15" t="s">
        <v>346</v>
      </c>
    </row>
    <row r="4" spans="1:8" ht="21" x14ac:dyDescent="0.4">
      <c r="A4" s="8">
        <v>530084</v>
      </c>
      <c r="B4" s="4" t="s">
        <v>21</v>
      </c>
      <c r="C4" s="4" t="s">
        <v>91</v>
      </c>
      <c r="D4" s="4" t="s">
        <v>92</v>
      </c>
      <c r="E4" s="4" t="s">
        <v>93</v>
      </c>
      <c r="F4" s="4" t="s">
        <v>34</v>
      </c>
      <c r="G4" s="13" t="s">
        <v>65</v>
      </c>
      <c r="H4" s="15" t="s">
        <v>346</v>
      </c>
    </row>
    <row r="5" spans="1:8" ht="21" x14ac:dyDescent="0.4">
      <c r="A5" s="8">
        <v>550033</v>
      </c>
      <c r="B5" s="4" t="s">
        <v>21</v>
      </c>
      <c r="C5" s="4" t="s">
        <v>94</v>
      </c>
      <c r="D5" s="4" t="s">
        <v>95</v>
      </c>
      <c r="E5" s="4" t="s">
        <v>93</v>
      </c>
      <c r="F5" s="4" t="s">
        <v>34</v>
      </c>
      <c r="G5" s="13" t="s">
        <v>65</v>
      </c>
      <c r="H5" s="15" t="s">
        <v>346</v>
      </c>
    </row>
    <row r="6" spans="1:8" ht="21" x14ac:dyDescent="0.4">
      <c r="A6" s="8">
        <v>480240</v>
      </c>
      <c r="B6" s="4" t="s">
        <v>21</v>
      </c>
      <c r="C6" s="4" t="s">
        <v>116</v>
      </c>
      <c r="D6" s="4" t="s">
        <v>117</v>
      </c>
      <c r="E6" s="4" t="s">
        <v>118</v>
      </c>
      <c r="F6" s="4" t="s">
        <v>34</v>
      </c>
      <c r="G6" s="13" t="s">
        <v>65</v>
      </c>
      <c r="H6" s="15" t="s">
        <v>346</v>
      </c>
    </row>
    <row r="7" spans="1:8" ht="21" x14ac:dyDescent="0.4">
      <c r="A7" s="8">
        <v>470057</v>
      </c>
      <c r="B7" s="4" t="s">
        <v>21</v>
      </c>
      <c r="C7" s="4" t="s">
        <v>119</v>
      </c>
      <c r="D7" s="4" t="s">
        <v>120</v>
      </c>
      <c r="E7" s="4" t="s">
        <v>121</v>
      </c>
      <c r="F7" s="4" t="s">
        <v>34</v>
      </c>
      <c r="G7" s="13" t="s">
        <v>65</v>
      </c>
      <c r="H7" s="15" t="s">
        <v>346</v>
      </c>
    </row>
    <row r="8" spans="1:8" ht="21" x14ac:dyDescent="0.4">
      <c r="A8" s="8">
        <v>550139</v>
      </c>
      <c r="B8" s="4" t="s">
        <v>21</v>
      </c>
      <c r="C8" s="4" t="s">
        <v>130</v>
      </c>
      <c r="D8" s="4" t="s">
        <v>131</v>
      </c>
      <c r="E8" s="4" t="s">
        <v>121</v>
      </c>
      <c r="F8" s="4" t="s">
        <v>34</v>
      </c>
      <c r="G8" s="13" t="s">
        <v>65</v>
      </c>
      <c r="H8" s="15" t="s">
        <v>346</v>
      </c>
    </row>
    <row r="9" spans="1:8" ht="21" x14ac:dyDescent="0.4">
      <c r="A9" s="8">
        <v>480226</v>
      </c>
      <c r="B9" s="4" t="s">
        <v>21</v>
      </c>
      <c r="C9" s="4" t="s">
        <v>167</v>
      </c>
      <c r="D9" s="4" t="s">
        <v>168</v>
      </c>
      <c r="E9" s="4" t="s">
        <v>93</v>
      </c>
      <c r="F9" s="4" t="s">
        <v>34</v>
      </c>
      <c r="G9" s="13" t="s">
        <v>65</v>
      </c>
      <c r="H9" s="15" t="s">
        <v>346</v>
      </c>
    </row>
    <row r="10" spans="1:8" ht="21" x14ac:dyDescent="0.4">
      <c r="A10" s="8">
        <v>580271</v>
      </c>
      <c r="B10" s="4" t="s">
        <v>21</v>
      </c>
      <c r="C10" s="4" t="s">
        <v>181</v>
      </c>
      <c r="D10" s="4" t="s">
        <v>182</v>
      </c>
      <c r="E10" s="4" t="s">
        <v>121</v>
      </c>
      <c r="F10" s="4" t="s">
        <v>34</v>
      </c>
      <c r="G10" s="13" t="s">
        <v>65</v>
      </c>
      <c r="H10" s="15" t="s">
        <v>346</v>
      </c>
    </row>
    <row r="11" spans="1:8" ht="21" x14ac:dyDescent="0.4">
      <c r="A11" s="8">
        <v>480225</v>
      </c>
      <c r="B11" s="4" t="s">
        <v>21</v>
      </c>
      <c r="C11" s="4" t="s">
        <v>183</v>
      </c>
      <c r="D11" s="4" t="s">
        <v>184</v>
      </c>
      <c r="E11" s="4" t="s">
        <v>42</v>
      </c>
      <c r="F11" s="4" t="s">
        <v>34</v>
      </c>
      <c r="G11" s="13" t="s">
        <v>65</v>
      </c>
      <c r="H11" s="10" t="s">
        <v>65</v>
      </c>
    </row>
    <row r="12" spans="1:8" ht="21" x14ac:dyDescent="0.4">
      <c r="A12" s="8">
        <v>360094</v>
      </c>
      <c r="B12" s="4" t="s">
        <v>21</v>
      </c>
      <c r="C12" s="4" t="s">
        <v>186</v>
      </c>
      <c r="D12" s="4" t="s">
        <v>187</v>
      </c>
      <c r="E12" s="4" t="s">
        <v>93</v>
      </c>
      <c r="F12" s="4" t="s">
        <v>34</v>
      </c>
      <c r="G12" s="13" t="s">
        <v>65</v>
      </c>
      <c r="H12" s="10" t="s">
        <v>65</v>
      </c>
    </row>
    <row r="13" spans="1:8" ht="21" x14ac:dyDescent="0.4">
      <c r="A13" s="8">
        <v>350064</v>
      </c>
      <c r="B13" s="4" t="s">
        <v>21</v>
      </c>
      <c r="C13" s="4" t="s">
        <v>190</v>
      </c>
      <c r="D13" s="4" t="s">
        <v>191</v>
      </c>
      <c r="E13" s="4" t="s">
        <v>93</v>
      </c>
      <c r="F13" s="4" t="s">
        <v>34</v>
      </c>
      <c r="G13" s="13" t="s">
        <v>65</v>
      </c>
      <c r="H13" s="10" t="s">
        <v>65</v>
      </c>
    </row>
    <row r="14" spans="1:8" ht="21" x14ac:dyDescent="0.4">
      <c r="A14" s="8">
        <v>580295</v>
      </c>
      <c r="B14" s="4" t="s">
        <v>21</v>
      </c>
      <c r="C14" s="4" t="s">
        <v>192</v>
      </c>
      <c r="D14" s="4" t="s">
        <v>193</v>
      </c>
      <c r="E14" s="4" t="s">
        <v>93</v>
      </c>
      <c r="F14" s="4" t="s">
        <v>34</v>
      </c>
      <c r="G14" s="13" t="s">
        <v>65</v>
      </c>
      <c r="H14" s="15" t="s">
        <v>346</v>
      </c>
    </row>
    <row r="15" spans="1:8" ht="21" x14ac:dyDescent="0.4">
      <c r="A15" s="8">
        <v>480235</v>
      </c>
      <c r="B15" s="4" t="s">
        <v>21</v>
      </c>
      <c r="C15" s="4" t="s">
        <v>200</v>
      </c>
      <c r="D15" s="4" t="s">
        <v>201</v>
      </c>
      <c r="E15" s="4" t="s">
        <v>121</v>
      </c>
      <c r="F15" s="4" t="s">
        <v>34</v>
      </c>
      <c r="G15" s="13" t="s">
        <v>65</v>
      </c>
      <c r="H15" s="15" t="s">
        <v>346</v>
      </c>
    </row>
    <row r="16" spans="1:8" ht="21" x14ac:dyDescent="0.4">
      <c r="A16" s="8">
        <v>480025</v>
      </c>
      <c r="B16" s="4" t="s">
        <v>21</v>
      </c>
      <c r="C16" s="4" t="s">
        <v>202</v>
      </c>
      <c r="D16" s="4" t="s">
        <v>203</v>
      </c>
      <c r="E16" s="4" t="s">
        <v>93</v>
      </c>
      <c r="F16" s="4" t="s">
        <v>34</v>
      </c>
      <c r="G16" s="13" t="s">
        <v>65</v>
      </c>
      <c r="H16" s="15" t="s">
        <v>346</v>
      </c>
    </row>
    <row r="17" spans="1:8" ht="21" x14ac:dyDescent="0.4">
      <c r="A17" s="8">
        <v>410056</v>
      </c>
      <c r="B17" s="4" t="s">
        <v>21</v>
      </c>
      <c r="C17" s="4" t="s">
        <v>215</v>
      </c>
      <c r="D17" s="4" t="s">
        <v>216</v>
      </c>
      <c r="E17" s="4" t="s">
        <v>118</v>
      </c>
      <c r="F17" s="4" t="s">
        <v>34</v>
      </c>
      <c r="G17" s="13" t="s">
        <v>65</v>
      </c>
      <c r="H17" s="10" t="s">
        <v>65</v>
      </c>
    </row>
    <row r="18" spans="1:8" ht="21" x14ac:dyDescent="0.4">
      <c r="A18" s="8">
        <v>490047</v>
      </c>
      <c r="B18" s="4" t="s">
        <v>21</v>
      </c>
      <c r="C18" s="4" t="s">
        <v>217</v>
      </c>
      <c r="D18" s="4" t="s">
        <v>218</v>
      </c>
      <c r="E18" s="4" t="s">
        <v>118</v>
      </c>
      <c r="F18" s="4" t="s">
        <v>34</v>
      </c>
      <c r="G18" s="13" t="s">
        <v>65</v>
      </c>
      <c r="H18" s="15" t="s">
        <v>346</v>
      </c>
    </row>
    <row r="19" spans="1:8" ht="21" x14ac:dyDescent="0.4">
      <c r="A19" s="8">
        <v>500103</v>
      </c>
      <c r="B19" s="4" t="s">
        <v>21</v>
      </c>
      <c r="C19" s="4" t="s">
        <v>234</v>
      </c>
      <c r="D19" s="4" t="s">
        <v>235</v>
      </c>
      <c r="E19" s="4" t="s">
        <v>121</v>
      </c>
      <c r="F19" s="4" t="s">
        <v>34</v>
      </c>
      <c r="G19" s="13" t="s">
        <v>65</v>
      </c>
      <c r="H19" s="15" t="s">
        <v>346</v>
      </c>
    </row>
    <row r="20" spans="1:8" ht="21" x14ac:dyDescent="0.4">
      <c r="A20" s="8">
        <v>540230</v>
      </c>
      <c r="B20" s="4" t="s">
        <v>21</v>
      </c>
      <c r="C20" s="4" t="s">
        <v>283</v>
      </c>
      <c r="D20" s="4" t="s">
        <v>284</v>
      </c>
      <c r="E20" s="4" t="s">
        <v>118</v>
      </c>
      <c r="F20" s="4" t="s">
        <v>34</v>
      </c>
      <c r="G20" s="13" t="s">
        <v>65</v>
      </c>
      <c r="H20" s="15" t="s">
        <v>346</v>
      </c>
    </row>
    <row r="21" spans="1:8" ht="21" x14ac:dyDescent="0.4">
      <c r="A21" s="8">
        <v>470104</v>
      </c>
      <c r="B21" s="4" t="s">
        <v>21</v>
      </c>
      <c r="C21" s="4" t="s">
        <v>287</v>
      </c>
      <c r="D21" s="4" t="s">
        <v>288</v>
      </c>
      <c r="E21" s="4" t="s">
        <v>118</v>
      </c>
      <c r="F21" s="4" t="s">
        <v>34</v>
      </c>
      <c r="G21" s="13" t="s">
        <v>65</v>
      </c>
      <c r="H21" s="15" t="s">
        <v>346</v>
      </c>
    </row>
    <row r="22" spans="1:8" ht="21" x14ac:dyDescent="0.4">
      <c r="A22" s="8">
        <v>540327</v>
      </c>
      <c r="B22" s="4" t="s">
        <v>21</v>
      </c>
      <c r="C22" s="4" t="s">
        <v>289</v>
      </c>
      <c r="D22" s="4" t="s">
        <v>290</v>
      </c>
      <c r="E22" s="4" t="s">
        <v>121</v>
      </c>
      <c r="F22" s="4" t="s">
        <v>34</v>
      </c>
      <c r="G22" s="13" t="s">
        <v>65</v>
      </c>
      <c r="H22" s="15" t="s">
        <v>346</v>
      </c>
    </row>
    <row r="23" spans="1:8" ht="21" x14ac:dyDescent="0.4">
      <c r="A23" s="8">
        <v>360071</v>
      </c>
      <c r="B23" s="4" t="s">
        <v>21</v>
      </c>
      <c r="C23" s="4" t="s">
        <v>293</v>
      </c>
      <c r="D23" s="4" t="s">
        <v>294</v>
      </c>
      <c r="E23" s="4" t="s">
        <v>42</v>
      </c>
      <c r="F23" s="4" t="s">
        <v>34</v>
      </c>
      <c r="G23" s="13" t="s">
        <v>65</v>
      </c>
      <c r="H23" s="10" t="s">
        <v>65</v>
      </c>
    </row>
    <row r="24" spans="1:8" ht="21" x14ac:dyDescent="0.4">
      <c r="A24" s="8">
        <v>350076</v>
      </c>
      <c r="B24" s="4" t="s">
        <v>21</v>
      </c>
      <c r="C24" s="4" t="s">
        <v>325</v>
      </c>
      <c r="D24" s="4" t="s">
        <v>326</v>
      </c>
      <c r="E24" s="4" t="s">
        <v>93</v>
      </c>
      <c r="F24" s="4" t="s">
        <v>34</v>
      </c>
      <c r="G24" s="14" t="s">
        <v>345</v>
      </c>
      <c r="H24" s="10" t="s">
        <v>65</v>
      </c>
    </row>
  </sheetData>
  <conditionalFormatting sqref="A1">
    <cfRule type="duplicateValues" dxfId="17" priority="1"/>
  </conditionalFormatting>
  <conditionalFormatting sqref="A2:A24">
    <cfRule type="duplicateValues" dxfId="16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5101-B923-4E95-929B-284C409B3A69}">
  <sheetPr>
    <tabColor rgb="FFFFC000"/>
  </sheetPr>
  <dimension ref="A1:H9"/>
  <sheetViews>
    <sheetView workbookViewId="0">
      <selection activeCell="L16" sqref="L16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550189</v>
      </c>
      <c r="B3" s="4" t="s">
        <v>21</v>
      </c>
      <c r="C3" s="4" t="s">
        <v>44</v>
      </c>
      <c r="D3" s="4" t="s">
        <v>45</v>
      </c>
      <c r="E3" s="4" t="s">
        <v>46</v>
      </c>
      <c r="F3" s="4" t="s">
        <v>34</v>
      </c>
      <c r="G3" s="12" t="s">
        <v>30</v>
      </c>
      <c r="H3" s="15" t="s">
        <v>346</v>
      </c>
    </row>
    <row r="4" spans="1:8" ht="21" x14ac:dyDescent="0.4">
      <c r="A4" s="8">
        <v>540329</v>
      </c>
      <c r="B4" s="4" t="s">
        <v>21</v>
      </c>
      <c r="C4" s="4" t="s">
        <v>113</v>
      </c>
      <c r="D4" s="4" t="s">
        <v>114</v>
      </c>
      <c r="E4" s="4" t="s">
        <v>115</v>
      </c>
      <c r="F4" s="4" t="s">
        <v>34</v>
      </c>
      <c r="G4" s="13" t="s">
        <v>65</v>
      </c>
      <c r="H4" s="15" t="s">
        <v>346</v>
      </c>
    </row>
    <row r="5" spans="1:8" ht="21" x14ac:dyDescent="0.4">
      <c r="A5" s="8">
        <v>580048</v>
      </c>
      <c r="B5" s="4" t="s">
        <v>21</v>
      </c>
      <c r="C5" s="4" t="s">
        <v>89</v>
      </c>
      <c r="D5" s="4" t="s">
        <v>146</v>
      </c>
      <c r="E5" s="4" t="s">
        <v>147</v>
      </c>
      <c r="F5" s="4" t="s">
        <v>34</v>
      </c>
      <c r="G5" s="13" t="s">
        <v>65</v>
      </c>
      <c r="H5" s="15" t="s">
        <v>346</v>
      </c>
    </row>
    <row r="6" spans="1:8" ht="21" x14ac:dyDescent="0.4">
      <c r="A6" s="8">
        <v>590139</v>
      </c>
      <c r="B6" s="4" t="s">
        <v>21</v>
      </c>
      <c r="C6" s="4" t="s">
        <v>172</v>
      </c>
      <c r="D6" s="4" t="s">
        <v>173</v>
      </c>
      <c r="E6" s="4" t="s">
        <v>46</v>
      </c>
      <c r="F6" s="4" t="s">
        <v>34</v>
      </c>
      <c r="G6" s="13" t="s">
        <v>65</v>
      </c>
      <c r="H6" s="15" t="s">
        <v>346</v>
      </c>
    </row>
    <row r="7" spans="1:8" ht="21" x14ac:dyDescent="0.4">
      <c r="A7" s="8">
        <v>550185</v>
      </c>
      <c r="B7" s="4" t="s">
        <v>21</v>
      </c>
      <c r="C7" s="4" t="s">
        <v>208</v>
      </c>
      <c r="D7" s="4" t="s">
        <v>209</v>
      </c>
      <c r="E7" s="4" t="s">
        <v>147</v>
      </c>
      <c r="F7" s="4" t="s">
        <v>34</v>
      </c>
      <c r="G7" s="13" t="s">
        <v>65</v>
      </c>
      <c r="H7" s="15" t="s">
        <v>346</v>
      </c>
    </row>
    <row r="8" spans="1:8" ht="21" x14ac:dyDescent="0.4">
      <c r="A8" s="8">
        <v>440047</v>
      </c>
      <c r="B8" s="4" t="s">
        <v>21</v>
      </c>
      <c r="C8" s="4" t="s">
        <v>232</v>
      </c>
      <c r="D8" s="4" t="s">
        <v>233</v>
      </c>
      <c r="E8" s="4" t="s">
        <v>147</v>
      </c>
      <c r="F8" s="4" t="s">
        <v>34</v>
      </c>
      <c r="G8" s="13" t="s">
        <v>65</v>
      </c>
      <c r="H8" s="15" t="s">
        <v>346</v>
      </c>
    </row>
    <row r="9" spans="1:8" ht="21" x14ac:dyDescent="0.4">
      <c r="A9" s="8">
        <v>480214</v>
      </c>
      <c r="B9" s="4" t="s">
        <v>21</v>
      </c>
      <c r="C9" s="4" t="s">
        <v>269</v>
      </c>
      <c r="D9" s="4" t="s">
        <v>270</v>
      </c>
      <c r="E9" s="4" t="s">
        <v>46</v>
      </c>
      <c r="F9" s="4" t="s">
        <v>34</v>
      </c>
      <c r="G9" s="13" t="s">
        <v>65</v>
      </c>
      <c r="H9" s="10" t="s">
        <v>65</v>
      </c>
    </row>
  </sheetData>
  <conditionalFormatting sqref="A1:A9">
    <cfRule type="duplicateValues" dxfId="1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4DDC-9A6B-4605-AFAE-862D68296BAF}">
  <sheetPr>
    <tabColor rgb="FFFFC000"/>
  </sheetPr>
  <dimension ref="A1:H18"/>
  <sheetViews>
    <sheetView workbookViewId="0">
      <selection activeCell="H24" sqref="H24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580296</v>
      </c>
      <c r="B3" s="4" t="s">
        <v>21</v>
      </c>
      <c r="C3" s="4" t="s">
        <v>49</v>
      </c>
      <c r="D3" s="4" t="s">
        <v>50</v>
      </c>
      <c r="E3" s="4" t="s">
        <v>51</v>
      </c>
      <c r="F3" s="4" t="s">
        <v>34</v>
      </c>
      <c r="G3" s="12" t="s">
        <v>30</v>
      </c>
      <c r="H3" s="15" t="s">
        <v>346</v>
      </c>
    </row>
    <row r="4" spans="1:8" ht="21" x14ac:dyDescent="0.4">
      <c r="A4" s="8">
        <v>470099</v>
      </c>
      <c r="B4" s="4" t="s">
        <v>21</v>
      </c>
      <c r="C4" s="4" t="s">
        <v>52</v>
      </c>
      <c r="D4" s="4" t="s">
        <v>53</v>
      </c>
      <c r="E4" s="4" t="s">
        <v>54</v>
      </c>
      <c r="F4" s="4" t="s">
        <v>34</v>
      </c>
      <c r="G4" s="12" t="s">
        <v>30</v>
      </c>
      <c r="H4" s="15" t="s">
        <v>346</v>
      </c>
    </row>
    <row r="5" spans="1:8" ht="21" x14ac:dyDescent="0.4">
      <c r="A5" s="8">
        <v>580299</v>
      </c>
      <c r="B5" s="4" t="s">
        <v>21</v>
      </c>
      <c r="C5" s="4" t="s">
        <v>148</v>
      </c>
      <c r="D5" s="4" t="s">
        <v>149</v>
      </c>
      <c r="E5" s="4" t="s">
        <v>54</v>
      </c>
      <c r="F5" s="4" t="s">
        <v>34</v>
      </c>
      <c r="G5" s="13" t="s">
        <v>65</v>
      </c>
      <c r="H5" s="15" t="s">
        <v>346</v>
      </c>
    </row>
    <row r="6" spans="1:8" ht="21" x14ac:dyDescent="0.4">
      <c r="A6" s="8">
        <v>540071</v>
      </c>
      <c r="B6" s="4" t="s">
        <v>21</v>
      </c>
      <c r="C6" s="4" t="s">
        <v>153</v>
      </c>
      <c r="D6" s="4" t="s">
        <v>154</v>
      </c>
      <c r="E6" s="4" t="s">
        <v>155</v>
      </c>
      <c r="F6" s="4" t="s">
        <v>34</v>
      </c>
      <c r="G6" s="13" t="s">
        <v>65</v>
      </c>
      <c r="H6" s="15" t="s">
        <v>346</v>
      </c>
    </row>
    <row r="7" spans="1:8" ht="21" x14ac:dyDescent="0.4">
      <c r="A7" s="8">
        <v>480237</v>
      </c>
      <c r="B7" s="4" t="s">
        <v>21</v>
      </c>
      <c r="C7" s="4" t="s">
        <v>156</v>
      </c>
      <c r="D7" s="4" t="s">
        <v>157</v>
      </c>
      <c r="E7" s="4" t="s">
        <v>51</v>
      </c>
      <c r="F7" s="4" t="s">
        <v>34</v>
      </c>
      <c r="G7" s="13" t="s">
        <v>65</v>
      </c>
      <c r="H7" s="15" t="s">
        <v>346</v>
      </c>
    </row>
    <row r="8" spans="1:8" ht="21" x14ac:dyDescent="0.4">
      <c r="A8" s="8">
        <v>480216</v>
      </c>
      <c r="B8" s="4" t="s">
        <v>21</v>
      </c>
      <c r="C8" s="4" t="s">
        <v>163</v>
      </c>
      <c r="D8" s="4" t="s">
        <v>164</v>
      </c>
      <c r="E8" s="4" t="s">
        <v>54</v>
      </c>
      <c r="F8" s="4" t="s">
        <v>34</v>
      </c>
      <c r="G8" s="13" t="s">
        <v>65</v>
      </c>
      <c r="H8" s="15" t="s">
        <v>346</v>
      </c>
    </row>
    <row r="9" spans="1:8" ht="21" x14ac:dyDescent="0.4">
      <c r="A9" s="8">
        <v>480218</v>
      </c>
      <c r="B9" s="4" t="s">
        <v>21</v>
      </c>
      <c r="C9" s="4" t="s">
        <v>179</v>
      </c>
      <c r="D9" s="4" t="s">
        <v>180</v>
      </c>
      <c r="E9" s="4" t="s">
        <v>155</v>
      </c>
      <c r="F9" s="4" t="s">
        <v>34</v>
      </c>
      <c r="G9" s="13" t="s">
        <v>65</v>
      </c>
      <c r="H9" s="15" t="s">
        <v>346</v>
      </c>
    </row>
    <row r="10" spans="1:8" ht="21" x14ac:dyDescent="0.4">
      <c r="A10" s="8">
        <v>490032</v>
      </c>
      <c r="B10" s="4" t="s">
        <v>21</v>
      </c>
      <c r="C10" s="4" t="s">
        <v>219</v>
      </c>
      <c r="D10" s="4" t="s">
        <v>220</v>
      </c>
      <c r="E10" s="4" t="s">
        <v>54</v>
      </c>
      <c r="F10" s="4" t="s">
        <v>34</v>
      </c>
      <c r="G10" s="13" t="s">
        <v>65</v>
      </c>
      <c r="H10" s="15" t="s">
        <v>346</v>
      </c>
    </row>
    <row r="11" spans="1:8" ht="21" x14ac:dyDescent="0.4">
      <c r="A11" s="8">
        <v>580098</v>
      </c>
      <c r="B11" s="4" t="s">
        <v>21</v>
      </c>
      <c r="C11" s="4" t="s">
        <v>228</v>
      </c>
      <c r="D11" s="4" t="s">
        <v>229</v>
      </c>
      <c r="E11" s="4" t="s">
        <v>51</v>
      </c>
      <c r="F11" s="4" t="s">
        <v>34</v>
      </c>
      <c r="G11" s="13" t="s">
        <v>65</v>
      </c>
      <c r="H11" s="15" t="s">
        <v>346</v>
      </c>
    </row>
    <row r="12" spans="1:8" ht="21" x14ac:dyDescent="0.4">
      <c r="A12" s="8">
        <v>580298</v>
      </c>
      <c r="B12" s="4" t="s">
        <v>21</v>
      </c>
      <c r="C12" s="4" t="s">
        <v>247</v>
      </c>
      <c r="D12" s="4" t="s">
        <v>248</v>
      </c>
      <c r="E12" s="4" t="s">
        <v>54</v>
      </c>
      <c r="F12" s="4" t="s">
        <v>34</v>
      </c>
      <c r="G12" s="13" t="s">
        <v>65</v>
      </c>
      <c r="H12" s="15" t="s">
        <v>346</v>
      </c>
    </row>
    <row r="13" spans="1:8" ht="21" x14ac:dyDescent="0.4">
      <c r="A13" s="8">
        <v>470100</v>
      </c>
      <c r="B13" s="4" t="s">
        <v>21</v>
      </c>
      <c r="C13" s="4" t="s">
        <v>263</v>
      </c>
      <c r="D13" s="4" t="s">
        <v>264</v>
      </c>
      <c r="E13" s="4" t="s">
        <v>155</v>
      </c>
      <c r="F13" s="4" t="s">
        <v>34</v>
      </c>
      <c r="G13" s="13" t="s">
        <v>65</v>
      </c>
      <c r="H13" s="15" t="s">
        <v>346</v>
      </c>
    </row>
    <row r="14" spans="1:8" ht="21" x14ac:dyDescent="0.4">
      <c r="A14" s="8">
        <v>340109</v>
      </c>
      <c r="B14" s="4" t="s">
        <v>21</v>
      </c>
      <c r="C14" s="4" t="s">
        <v>274</v>
      </c>
      <c r="D14" s="4" t="s">
        <v>275</v>
      </c>
      <c r="E14" s="4" t="s">
        <v>276</v>
      </c>
      <c r="F14" s="4" t="s">
        <v>34</v>
      </c>
      <c r="G14" s="13" t="s">
        <v>65</v>
      </c>
      <c r="H14" s="10" t="s">
        <v>65</v>
      </c>
    </row>
    <row r="15" spans="1:8" ht="21" x14ac:dyDescent="0.4">
      <c r="A15" s="8">
        <v>490040</v>
      </c>
      <c r="B15" s="4" t="s">
        <v>21</v>
      </c>
      <c r="C15" s="4" t="s">
        <v>297</v>
      </c>
      <c r="D15" s="4" t="s">
        <v>298</v>
      </c>
      <c r="E15" s="4" t="s">
        <v>276</v>
      </c>
      <c r="F15" s="4" t="s">
        <v>34</v>
      </c>
      <c r="G15" s="13" t="s">
        <v>65</v>
      </c>
      <c r="H15" s="15" t="s">
        <v>346</v>
      </c>
    </row>
    <row r="16" spans="1:8" ht="21" x14ac:dyDescent="0.4">
      <c r="A16" s="8">
        <v>480243</v>
      </c>
      <c r="B16" s="4" t="s">
        <v>21</v>
      </c>
      <c r="C16" s="4" t="s">
        <v>310</v>
      </c>
      <c r="D16" s="4" t="s">
        <v>311</v>
      </c>
      <c r="E16" s="4" t="s">
        <v>54</v>
      </c>
      <c r="F16" s="4" t="s">
        <v>34</v>
      </c>
      <c r="G16" s="13" t="s">
        <v>65</v>
      </c>
      <c r="H16" s="15" t="s">
        <v>346</v>
      </c>
    </row>
    <row r="17" spans="1:8" ht="21" x14ac:dyDescent="0.4">
      <c r="A17" s="8">
        <v>360075</v>
      </c>
      <c r="B17" s="4" t="s">
        <v>21</v>
      </c>
      <c r="C17" s="4" t="s">
        <v>332</v>
      </c>
      <c r="D17" s="4" t="s">
        <v>333</v>
      </c>
      <c r="E17" s="4" t="s">
        <v>51</v>
      </c>
      <c r="F17" s="4" t="s">
        <v>34</v>
      </c>
      <c r="G17" s="14" t="s">
        <v>345</v>
      </c>
      <c r="H17" s="10" t="s">
        <v>65</v>
      </c>
    </row>
    <row r="18" spans="1:8" ht="21" x14ac:dyDescent="0.4">
      <c r="A18" s="8">
        <v>340098</v>
      </c>
      <c r="B18" s="4" t="s">
        <v>21</v>
      </c>
      <c r="C18" s="4" t="s">
        <v>336</v>
      </c>
      <c r="D18" s="4" t="s">
        <v>337</v>
      </c>
      <c r="E18" s="4" t="s">
        <v>338</v>
      </c>
      <c r="F18" s="4" t="s">
        <v>34</v>
      </c>
      <c r="G18" s="14" t="s">
        <v>345</v>
      </c>
      <c r="H18" s="10" t="s">
        <v>65</v>
      </c>
    </row>
  </sheetData>
  <conditionalFormatting sqref="A1:A18">
    <cfRule type="duplicateValues" dxfId="1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630-EBC1-4C76-A812-5B1B3D001201}">
  <sheetPr>
    <tabColor rgb="FFFFC000"/>
  </sheetPr>
  <dimension ref="A1:H15"/>
  <sheetViews>
    <sheetView workbookViewId="0">
      <selection activeCell="H24" sqref="H24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550202</v>
      </c>
      <c r="B3" s="4" t="s">
        <v>21</v>
      </c>
      <c r="C3" s="4" t="s">
        <v>31</v>
      </c>
      <c r="D3" s="4" t="s">
        <v>32</v>
      </c>
      <c r="E3" s="4" t="s">
        <v>33</v>
      </c>
      <c r="F3" s="4" t="s">
        <v>34</v>
      </c>
      <c r="G3" s="12" t="s">
        <v>30</v>
      </c>
      <c r="H3" s="15" t="s">
        <v>346</v>
      </c>
    </row>
    <row r="4" spans="1:8" ht="21" x14ac:dyDescent="0.4">
      <c r="A4" s="8">
        <v>490041</v>
      </c>
      <c r="B4" s="4" t="s">
        <v>21</v>
      </c>
      <c r="C4" s="4" t="s">
        <v>71</v>
      </c>
      <c r="D4" s="4" t="s">
        <v>72</v>
      </c>
      <c r="E4" s="4" t="s">
        <v>73</v>
      </c>
      <c r="F4" s="4" t="s">
        <v>34</v>
      </c>
      <c r="G4" s="13" t="s">
        <v>65</v>
      </c>
      <c r="H4" s="15" t="s">
        <v>346</v>
      </c>
    </row>
    <row r="5" spans="1:8" ht="21" x14ac:dyDescent="0.4">
      <c r="A5" s="8">
        <v>340011</v>
      </c>
      <c r="B5" s="4" t="s">
        <v>21</v>
      </c>
      <c r="C5" s="4" t="s">
        <v>79</v>
      </c>
      <c r="D5" s="4" t="s">
        <v>80</v>
      </c>
      <c r="E5" s="4" t="s">
        <v>81</v>
      </c>
      <c r="F5" s="4" t="s">
        <v>34</v>
      </c>
      <c r="G5" s="13" t="s">
        <v>65</v>
      </c>
      <c r="H5" s="10" t="s">
        <v>65</v>
      </c>
    </row>
    <row r="6" spans="1:8" ht="21" x14ac:dyDescent="0.4">
      <c r="A6" s="8">
        <v>640082</v>
      </c>
      <c r="B6" s="4" t="s">
        <v>21</v>
      </c>
      <c r="C6" s="4" t="s">
        <v>101</v>
      </c>
      <c r="D6" s="4" t="s">
        <v>102</v>
      </c>
      <c r="E6" s="4" t="s">
        <v>81</v>
      </c>
      <c r="F6" s="4" t="s">
        <v>34</v>
      </c>
      <c r="G6" s="13" t="s">
        <v>65</v>
      </c>
      <c r="H6" s="15" t="s">
        <v>346</v>
      </c>
    </row>
    <row r="7" spans="1:8" ht="21" x14ac:dyDescent="0.4">
      <c r="A7" s="8">
        <v>590021</v>
      </c>
      <c r="B7" s="4" t="s">
        <v>21</v>
      </c>
      <c r="C7" s="4" t="s">
        <v>103</v>
      </c>
      <c r="D7" s="4" t="s">
        <v>104</v>
      </c>
      <c r="E7" s="4" t="s">
        <v>105</v>
      </c>
      <c r="F7" s="4" t="s">
        <v>34</v>
      </c>
      <c r="G7" s="13" t="s">
        <v>65</v>
      </c>
      <c r="H7" s="15" t="s">
        <v>346</v>
      </c>
    </row>
    <row r="8" spans="1:8" ht="21" x14ac:dyDescent="0.4">
      <c r="A8" s="8">
        <v>490071</v>
      </c>
      <c r="B8" s="4" t="s">
        <v>21</v>
      </c>
      <c r="C8" s="4" t="s">
        <v>132</v>
      </c>
      <c r="D8" s="4" t="s">
        <v>133</v>
      </c>
      <c r="E8" s="4" t="s">
        <v>73</v>
      </c>
      <c r="F8" s="4" t="s">
        <v>34</v>
      </c>
      <c r="G8" s="13" t="s">
        <v>65</v>
      </c>
      <c r="H8" s="15" t="s">
        <v>346</v>
      </c>
    </row>
    <row r="9" spans="1:8" ht="21" x14ac:dyDescent="0.4">
      <c r="A9" s="8">
        <v>490053</v>
      </c>
      <c r="B9" s="4" t="s">
        <v>21</v>
      </c>
      <c r="C9" s="4" t="s">
        <v>165</v>
      </c>
      <c r="D9" s="4" t="s">
        <v>166</v>
      </c>
      <c r="E9" s="4" t="s">
        <v>105</v>
      </c>
      <c r="F9" s="4" t="s">
        <v>34</v>
      </c>
      <c r="G9" s="13" t="s">
        <v>65</v>
      </c>
      <c r="H9" s="15" t="s">
        <v>346</v>
      </c>
    </row>
    <row r="10" spans="1:8" ht="21" x14ac:dyDescent="0.4">
      <c r="A10" s="8">
        <v>560067</v>
      </c>
      <c r="B10" s="4" t="s">
        <v>21</v>
      </c>
      <c r="C10" s="4" t="s">
        <v>196</v>
      </c>
      <c r="D10" s="4" t="s">
        <v>197</v>
      </c>
      <c r="E10" s="4" t="s">
        <v>33</v>
      </c>
      <c r="F10" s="4" t="s">
        <v>34</v>
      </c>
      <c r="G10" s="13" t="s">
        <v>65</v>
      </c>
      <c r="H10" s="15" t="s">
        <v>346</v>
      </c>
    </row>
    <row r="11" spans="1:8" ht="21" x14ac:dyDescent="0.4">
      <c r="A11" s="8">
        <v>490039</v>
      </c>
      <c r="B11" s="4" t="s">
        <v>21</v>
      </c>
      <c r="C11" s="4" t="s">
        <v>210</v>
      </c>
      <c r="D11" s="4" t="s">
        <v>211</v>
      </c>
      <c r="E11" s="4" t="s">
        <v>81</v>
      </c>
      <c r="F11" s="4" t="s">
        <v>34</v>
      </c>
      <c r="G11" s="13" t="s">
        <v>65</v>
      </c>
      <c r="H11" s="15" t="s">
        <v>346</v>
      </c>
    </row>
    <row r="12" spans="1:8" ht="21" x14ac:dyDescent="0.4">
      <c r="A12" s="8">
        <v>480190</v>
      </c>
      <c r="B12" s="4" t="s">
        <v>21</v>
      </c>
      <c r="C12" s="4" t="s">
        <v>255</v>
      </c>
      <c r="D12" s="4" t="s">
        <v>256</v>
      </c>
      <c r="E12" s="4" t="s">
        <v>105</v>
      </c>
      <c r="F12" s="4" t="s">
        <v>34</v>
      </c>
      <c r="G12" s="13" t="s">
        <v>65</v>
      </c>
      <c r="H12" s="15" t="s">
        <v>346</v>
      </c>
    </row>
    <row r="13" spans="1:8" ht="21" x14ac:dyDescent="0.4">
      <c r="A13" s="8">
        <v>490052</v>
      </c>
      <c r="B13" s="4" t="s">
        <v>21</v>
      </c>
      <c r="C13" s="4" t="s">
        <v>299</v>
      </c>
      <c r="D13" s="4" t="s">
        <v>300</v>
      </c>
      <c r="E13" s="4" t="s">
        <v>73</v>
      </c>
      <c r="F13" s="4" t="s">
        <v>34</v>
      </c>
      <c r="G13" s="13" t="s">
        <v>65</v>
      </c>
      <c r="H13" s="15" t="s">
        <v>346</v>
      </c>
    </row>
    <row r="14" spans="1:8" ht="21" x14ac:dyDescent="0.4">
      <c r="A14" s="8">
        <v>340108</v>
      </c>
      <c r="B14" s="4" t="s">
        <v>21</v>
      </c>
      <c r="C14" s="4" t="s">
        <v>321</v>
      </c>
      <c r="D14" s="4" t="s">
        <v>322</v>
      </c>
      <c r="E14" s="4" t="s">
        <v>323</v>
      </c>
      <c r="F14" s="4" t="s">
        <v>34</v>
      </c>
      <c r="G14" s="14" t="s">
        <v>345</v>
      </c>
      <c r="H14" s="10" t="s">
        <v>65</v>
      </c>
    </row>
    <row r="15" spans="1:8" ht="21" x14ac:dyDescent="0.4">
      <c r="A15" s="8">
        <v>340008</v>
      </c>
      <c r="B15" s="4" t="s">
        <v>21</v>
      </c>
      <c r="C15" s="4" t="s">
        <v>330</v>
      </c>
      <c r="D15" s="4" t="s">
        <v>331</v>
      </c>
      <c r="E15" s="4" t="s">
        <v>81</v>
      </c>
      <c r="F15" s="4" t="s">
        <v>34</v>
      </c>
      <c r="G15" s="14" t="s">
        <v>345</v>
      </c>
      <c r="H15" s="10" t="s">
        <v>65</v>
      </c>
    </row>
  </sheetData>
  <conditionalFormatting sqref="A1:A15">
    <cfRule type="duplicateValues" dxfId="1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296E-2E25-4D48-9E31-D0E7226C14F4}">
  <sheetPr>
    <tabColor rgb="FFFFC000"/>
  </sheetPr>
  <dimension ref="A1:H10"/>
  <sheetViews>
    <sheetView workbookViewId="0">
      <selection activeCell="H24" sqref="H24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470039</v>
      </c>
      <c r="B3" s="4" t="s">
        <v>21</v>
      </c>
      <c r="C3" s="4" t="s">
        <v>140</v>
      </c>
      <c r="D3" s="4" t="s">
        <v>141</v>
      </c>
      <c r="E3" s="4" t="s">
        <v>142</v>
      </c>
      <c r="F3" s="4" t="s">
        <v>34</v>
      </c>
      <c r="G3" s="13" t="s">
        <v>65</v>
      </c>
      <c r="H3" s="15" t="s">
        <v>346</v>
      </c>
    </row>
    <row r="4" spans="1:8" ht="21" x14ac:dyDescent="0.4">
      <c r="A4" s="8">
        <v>340095</v>
      </c>
      <c r="B4" s="4" t="s">
        <v>21</v>
      </c>
      <c r="C4" s="4" t="s">
        <v>160</v>
      </c>
      <c r="D4" s="4" t="s">
        <v>161</v>
      </c>
      <c r="E4" s="4" t="s">
        <v>162</v>
      </c>
      <c r="F4" s="4" t="s">
        <v>34</v>
      </c>
      <c r="G4" s="13" t="s">
        <v>65</v>
      </c>
      <c r="H4" s="6" t="s">
        <v>30</v>
      </c>
    </row>
    <row r="5" spans="1:8" ht="21" x14ac:dyDescent="0.4">
      <c r="A5" s="8">
        <v>540243</v>
      </c>
      <c r="B5" s="4" t="s">
        <v>21</v>
      </c>
      <c r="C5" s="4" t="s">
        <v>243</v>
      </c>
      <c r="D5" s="4" t="s">
        <v>244</v>
      </c>
      <c r="E5" s="4" t="s">
        <v>162</v>
      </c>
      <c r="F5" s="4" t="s">
        <v>34</v>
      </c>
      <c r="G5" s="13" t="s">
        <v>65</v>
      </c>
      <c r="H5" s="15" t="s">
        <v>346</v>
      </c>
    </row>
    <row r="6" spans="1:8" ht="21" x14ac:dyDescent="0.4">
      <c r="A6" s="8">
        <v>480220</v>
      </c>
      <c r="B6" s="4" t="s">
        <v>21</v>
      </c>
      <c r="C6" s="4" t="s">
        <v>245</v>
      </c>
      <c r="D6" s="4" t="s">
        <v>246</v>
      </c>
      <c r="E6" s="4" t="s">
        <v>142</v>
      </c>
      <c r="F6" s="4" t="s">
        <v>34</v>
      </c>
      <c r="G6" s="13" t="s">
        <v>65</v>
      </c>
      <c r="H6" s="15" t="s">
        <v>346</v>
      </c>
    </row>
    <row r="7" spans="1:8" ht="21" x14ac:dyDescent="0.4">
      <c r="A7" s="8">
        <v>510142</v>
      </c>
      <c r="B7" s="4" t="s">
        <v>21</v>
      </c>
      <c r="C7" s="4" t="s">
        <v>172</v>
      </c>
      <c r="D7" s="4" t="s">
        <v>249</v>
      </c>
      <c r="E7" s="4" t="s">
        <v>250</v>
      </c>
      <c r="F7" s="4" t="s">
        <v>34</v>
      </c>
      <c r="G7" s="13" t="s">
        <v>65</v>
      </c>
      <c r="H7" s="15" t="s">
        <v>346</v>
      </c>
    </row>
    <row r="8" spans="1:8" ht="21" x14ac:dyDescent="0.4">
      <c r="A8" s="8">
        <v>510093</v>
      </c>
      <c r="B8" s="4" t="s">
        <v>21</v>
      </c>
      <c r="C8" s="4" t="s">
        <v>271</v>
      </c>
      <c r="D8" s="4" t="s">
        <v>272</v>
      </c>
      <c r="E8" s="4" t="s">
        <v>273</v>
      </c>
      <c r="F8" s="4" t="s">
        <v>34</v>
      </c>
      <c r="G8" s="13" t="s">
        <v>65</v>
      </c>
      <c r="H8" s="15" t="s">
        <v>346</v>
      </c>
    </row>
    <row r="9" spans="1:8" ht="21" x14ac:dyDescent="0.4">
      <c r="A9" s="8">
        <v>480194</v>
      </c>
      <c r="B9" s="4" t="s">
        <v>21</v>
      </c>
      <c r="C9" s="4" t="s">
        <v>314</v>
      </c>
      <c r="D9" s="4" t="s">
        <v>315</v>
      </c>
      <c r="E9" s="4" t="s">
        <v>162</v>
      </c>
      <c r="F9" s="4" t="s">
        <v>34</v>
      </c>
      <c r="G9" s="13" t="s">
        <v>65</v>
      </c>
      <c r="H9" s="15" t="s">
        <v>346</v>
      </c>
    </row>
    <row r="10" spans="1:8" ht="21" x14ac:dyDescent="0.4">
      <c r="A10" s="8">
        <v>340107</v>
      </c>
      <c r="B10" s="4" t="s">
        <v>21</v>
      </c>
      <c r="C10" s="4" t="s">
        <v>343</v>
      </c>
      <c r="D10" s="4" t="s">
        <v>344</v>
      </c>
      <c r="E10" s="4" t="s">
        <v>162</v>
      </c>
      <c r="F10" s="4" t="s">
        <v>34</v>
      </c>
      <c r="G10" s="14" t="s">
        <v>345</v>
      </c>
      <c r="H10" s="10" t="s">
        <v>65</v>
      </c>
    </row>
  </sheetData>
  <conditionalFormatting sqref="A1:A10">
    <cfRule type="duplicateValues" dxfId="1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4E01-8ADD-4B48-B97D-05C98885DAAA}">
  <sheetPr>
    <tabColor rgb="FFFFC000"/>
  </sheetPr>
  <dimension ref="A1:H5"/>
  <sheetViews>
    <sheetView workbookViewId="0">
      <selection activeCell="H24" sqref="H24"/>
    </sheetView>
  </sheetViews>
  <sheetFormatPr defaultRowHeight="16.5" x14ac:dyDescent="0.3"/>
  <cols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640055</v>
      </c>
      <c r="B3" s="4" t="s">
        <v>21</v>
      </c>
      <c r="C3" s="4" t="s">
        <v>143</v>
      </c>
      <c r="D3" s="4" t="s">
        <v>144</v>
      </c>
      <c r="E3" s="4" t="s">
        <v>145</v>
      </c>
      <c r="F3" s="4" t="s">
        <v>34</v>
      </c>
      <c r="G3" s="13" t="s">
        <v>65</v>
      </c>
      <c r="H3" s="15" t="s">
        <v>346</v>
      </c>
    </row>
    <row r="4" spans="1:8" ht="21" x14ac:dyDescent="0.4">
      <c r="A4" s="8">
        <v>580263</v>
      </c>
      <c r="B4" s="4" t="s">
        <v>21</v>
      </c>
      <c r="C4" s="4" t="s">
        <v>150</v>
      </c>
      <c r="D4" s="4" t="s">
        <v>151</v>
      </c>
      <c r="E4" s="4" t="s">
        <v>152</v>
      </c>
      <c r="F4" s="4" t="s">
        <v>34</v>
      </c>
      <c r="G4" s="13" t="s">
        <v>65</v>
      </c>
      <c r="H4" s="15" t="s">
        <v>346</v>
      </c>
    </row>
    <row r="5" spans="1:8" ht="21" x14ac:dyDescent="0.4">
      <c r="A5" s="8">
        <v>550140</v>
      </c>
      <c r="B5" s="4" t="s">
        <v>21</v>
      </c>
      <c r="C5" s="4" t="s">
        <v>177</v>
      </c>
      <c r="D5" s="4" t="s">
        <v>178</v>
      </c>
      <c r="E5" s="4" t="s">
        <v>145</v>
      </c>
      <c r="F5" s="4" t="s">
        <v>34</v>
      </c>
      <c r="G5" s="13" t="s">
        <v>65</v>
      </c>
      <c r="H5" s="15" t="s">
        <v>346</v>
      </c>
    </row>
  </sheetData>
  <conditionalFormatting sqref="A1:A5">
    <cfRule type="duplicateValues" dxfId="1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1422-814E-4936-836D-C452A512DB44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บฟ.วบก."/>
      </filters>
    </filterColumn>
  </autoFilter>
  <conditionalFormatting sqref="A1:A45">
    <cfRule type="duplicateValues" dxfId="1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F799-EA82-4613-86F6-3B35FEAC8AC8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บฟ.วบก."/>
      </filters>
    </filterColumn>
  </autoFilter>
  <conditionalFormatting sqref="A1:A45">
    <cfRule type="duplicateValues" dxfId="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567E-46A3-4587-A6B1-215B55D06CB9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บค.วบก."/>
      </filters>
    </filterColumn>
  </autoFilter>
  <conditionalFormatting sqref="A1:A45">
    <cfRule type="duplicateValues" dxfId="8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6720-125D-48B5-8A3E-D32B78FDBC54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ตร.วบก."/>
      </filters>
    </filterColumn>
  </autoFilter>
  <conditionalFormatting sqref="A1:A45">
    <cfRule type="duplicateValues" dxfId="7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1EA0-6599-4937-86ED-B0E61BE3D64E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วก.วบก."/>
      </filters>
    </filterColumn>
  </autoFilter>
  <conditionalFormatting sqref="A1:A45">
    <cfRule type="duplicateValues" dxfId="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1F65-1457-4C22-83B9-25E422DE1700}">
  <sheetPr filterMode="1">
    <tabColor theme="7"/>
  </sheetPr>
  <dimension ref="A1:H45"/>
  <sheetViews>
    <sheetView workbookViewId="0">
      <selection activeCell="H61" sqref="H6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ซญ.วบก."/>
      </filters>
    </filterColumn>
  </autoFilter>
  <conditionalFormatting sqref="A1:A45">
    <cfRule type="duplicateValues" dxfId="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297F-F475-4045-859E-BE9878D1B884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hidden="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ผบ.วบก."/>
      </filters>
    </filterColumn>
  </autoFilter>
  <conditionalFormatting sqref="A1:A45">
    <cfRule type="duplicateValues" dxfId="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AB73-0059-4EA8-9930-1E57744DACBC}">
  <sheetPr filterMode="1">
    <tabColor theme="7"/>
  </sheetPr>
  <dimension ref="A1:H45"/>
  <sheetViews>
    <sheetView workbookViewId="0">
      <selection activeCell="N71" sqref="N71"/>
    </sheetView>
  </sheetViews>
  <sheetFormatPr defaultRowHeight="16.5" x14ac:dyDescent="0.3"/>
  <cols>
    <col min="1" max="1" width="12.5" customWidth="1"/>
    <col min="3" max="3" width="10" bestFit="1" customWidth="1"/>
    <col min="4" max="4" width="12.625" bestFit="1" customWidth="1"/>
    <col min="6" max="6" width="10.2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570124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12" t="s">
        <v>30</v>
      </c>
      <c r="H3" s="15" t="s">
        <v>346</v>
      </c>
    </row>
    <row r="4" spans="1:8" ht="21" hidden="1" x14ac:dyDescent="0.4">
      <c r="A4" s="8">
        <v>480049</v>
      </c>
      <c r="B4" s="4" t="s">
        <v>21</v>
      </c>
      <c r="C4" s="4" t="s">
        <v>55</v>
      </c>
      <c r="D4" s="4" t="s">
        <v>56</v>
      </c>
      <c r="E4" s="4" t="s">
        <v>57</v>
      </c>
      <c r="F4" s="4" t="s">
        <v>25</v>
      </c>
      <c r="G4" s="12" t="s">
        <v>30</v>
      </c>
      <c r="H4" s="6" t="s">
        <v>30</v>
      </c>
    </row>
    <row r="5" spans="1:8" ht="21" hidden="1" x14ac:dyDescent="0.4">
      <c r="A5" s="8">
        <v>480180</v>
      </c>
      <c r="B5" s="4" t="s">
        <v>21</v>
      </c>
      <c r="C5" s="4" t="s">
        <v>59</v>
      </c>
      <c r="D5" s="4" t="s">
        <v>60</v>
      </c>
      <c r="E5" s="4" t="s">
        <v>61</v>
      </c>
      <c r="F5" s="4" t="s">
        <v>25</v>
      </c>
      <c r="G5" s="12" t="s">
        <v>30</v>
      </c>
      <c r="H5" s="15" t="s">
        <v>346</v>
      </c>
    </row>
    <row r="6" spans="1:8" ht="21" hidden="1" x14ac:dyDescent="0.4">
      <c r="A6" s="8">
        <v>640023</v>
      </c>
      <c r="B6" s="4" t="s">
        <v>21</v>
      </c>
      <c r="C6" s="4" t="s">
        <v>62</v>
      </c>
      <c r="D6" s="4" t="s">
        <v>63</v>
      </c>
      <c r="E6" s="4" t="s">
        <v>61</v>
      </c>
      <c r="F6" s="4" t="s">
        <v>25</v>
      </c>
      <c r="G6" s="13" t="s">
        <v>65</v>
      </c>
      <c r="H6" s="15" t="s">
        <v>346</v>
      </c>
    </row>
    <row r="7" spans="1:8" ht="21" hidden="1" x14ac:dyDescent="0.4">
      <c r="A7" s="8">
        <v>590063</v>
      </c>
      <c r="B7" s="4" t="s">
        <v>21</v>
      </c>
      <c r="C7" s="4" t="s">
        <v>66</v>
      </c>
      <c r="D7" s="4" t="s">
        <v>67</v>
      </c>
      <c r="E7" s="4" t="s">
        <v>57</v>
      </c>
      <c r="F7" s="4" t="s">
        <v>25</v>
      </c>
      <c r="G7" s="13" t="s">
        <v>65</v>
      </c>
      <c r="H7" s="15" t="s">
        <v>346</v>
      </c>
    </row>
    <row r="8" spans="1:8" ht="21" hidden="1" x14ac:dyDescent="0.4">
      <c r="A8" s="8">
        <v>600015</v>
      </c>
      <c r="B8" s="4" t="s">
        <v>21</v>
      </c>
      <c r="C8" s="4" t="s">
        <v>68</v>
      </c>
      <c r="D8" s="4" t="s">
        <v>69</v>
      </c>
      <c r="E8" s="4" t="s">
        <v>61</v>
      </c>
      <c r="F8" s="4" t="s">
        <v>25</v>
      </c>
      <c r="G8" s="13" t="s">
        <v>65</v>
      </c>
      <c r="H8" s="15" t="s">
        <v>346</v>
      </c>
    </row>
    <row r="9" spans="1:8" ht="21" hidden="1" x14ac:dyDescent="0.4">
      <c r="A9" s="8">
        <v>400211</v>
      </c>
      <c r="B9" s="4" t="s">
        <v>21</v>
      </c>
      <c r="C9" s="4" t="s">
        <v>86</v>
      </c>
      <c r="D9" s="4" t="s">
        <v>87</v>
      </c>
      <c r="E9" s="4" t="s">
        <v>88</v>
      </c>
      <c r="F9" s="4" t="s">
        <v>25</v>
      </c>
      <c r="G9" s="13" t="s">
        <v>65</v>
      </c>
      <c r="H9" s="15" t="s">
        <v>346</v>
      </c>
    </row>
    <row r="10" spans="1:8" ht="21" hidden="1" x14ac:dyDescent="0.4">
      <c r="A10" s="8">
        <v>530034</v>
      </c>
      <c r="B10" s="4" t="s">
        <v>21</v>
      </c>
      <c r="C10" s="4" t="s">
        <v>89</v>
      </c>
      <c r="D10" s="4" t="s">
        <v>90</v>
      </c>
      <c r="E10" s="4" t="s">
        <v>24</v>
      </c>
      <c r="F10" s="4" t="s">
        <v>25</v>
      </c>
      <c r="G10" s="13" t="s">
        <v>65</v>
      </c>
      <c r="H10" s="15" t="s">
        <v>346</v>
      </c>
    </row>
    <row r="11" spans="1:8" ht="21" hidden="1" x14ac:dyDescent="0.4">
      <c r="A11" s="8">
        <v>480239</v>
      </c>
      <c r="B11" s="4" t="s">
        <v>21</v>
      </c>
      <c r="C11" s="4" t="s">
        <v>96</v>
      </c>
      <c r="D11" s="4" t="s">
        <v>97</v>
      </c>
      <c r="E11" s="4" t="s">
        <v>57</v>
      </c>
      <c r="F11" s="4" t="s">
        <v>25</v>
      </c>
      <c r="G11" s="13" t="s">
        <v>65</v>
      </c>
      <c r="H11" s="15" t="s">
        <v>346</v>
      </c>
    </row>
    <row r="12" spans="1:8" ht="21" hidden="1" x14ac:dyDescent="0.4">
      <c r="A12" s="8">
        <v>540228</v>
      </c>
      <c r="B12" s="4" t="s">
        <v>21</v>
      </c>
      <c r="C12" s="4" t="s">
        <v>98</v>
      </c>
      <c r="D12" s="4" t="s">
        <v>99</v>
      </c>
      <c r="E12" s="4" t="s">
        <v>100</v>
      </c>
      <c r="F12" s="4" t="s">
        <v>25</v>
      </c>
      <c r="G12" s="13" t="s">
        <v>65</v>
      </c>
      <c r="H12" s="15" t="s">
        <v>346</v>
      </c>
    </row>
    <row r="13" spans="1:8" ht="21" x14ac:dyDescent="0.4">
      <c r="A13" s="8">
        <v>550361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25</v>
      </c>
      <c r="G13" s="13" t="s">
        <v>65</v>
      </c>
      <c r="H13" s="15" t="s">
        <v>346</v>
      </c>
    </row>
    <row r="14" spans="1:8" ht="21" hidden="1" x14ac:dyDescent="0.4">
      <c r="A14" s="8">
        <v>330076</v>
      </c>
      <c r="B14" s="4" t="s">
        <v>21</v>
      </c>
      <c r="C14" s="4" t="s">
        <v>124</v>
      </c>
      <c r="D14" s="4" t="s">
        <v>125</v>
      </c>
      <c r="E14" s="4" t="s">
        <v>57</v>
      </c>
      <c r="F14" s="4" t="s">
        <v>25</v>
      </c>
      <c r="G14" s="13" t="s">
        <v>65</v>
      </c>
      <c r="H14" s="6" t="s">
        <v>30</v>
      </c>
    </row>
    <row r="15" spans="1:8" ht="21" hidden="1" x14ac:dyDescent="0.4">
      <c r="A15" s="8">
        <v>580078</v>
      </c>
      <c r="B15" s="4" t="s">
        <v>21</v>
      </c>
      <c r="C15" s="4" t="s">
        <v>126</v>
      </c>
      <c r="D15" s="4" t="s">
        <v>127</v>
      </c>
      <c r="E15" s="4" t="s">
        <v>61</v>
      </c>
      <c r="F15" s="4" t="s">
        <v>25</v>
      </c>
      <c r="G15" s="13" t="s">
        <v>65</v>
      </c>
      <c r="H15" s="15" t="s">
        <v>346</v>
      </c>
    </row>
    <row r="16" spans="1:8" ht="21" hidden="1" x14ac:dyDescent="0.4">
      <c r="A16" s="8">
        <v>450077</v>
      </c>
      <c r="B16" s="4" t="s">
        <v>21</v>
      </c>
      <c r="C16" s="4" t="s">
        <v>128</v>
      </c>
      <c r="D16" s="4" t="s">
        <v>129</v>
      </c>
      <c r="E16" s="4" t="s">
        <v>24</v>
      </c>
      <c r="F16" s="4" t="s">
        <v>25</v>
      </c>
      <c r="G16" s="13" t="s">
        <v>65</v>
      </c>
      <c r="H16" s="15" t="s">
        <v>346</v>
      </c>
    </row>
    <row r="17" spans="1:8" ht="21" hidden="1" x14ac:dyDescent="0.4">
      <c r="A17" s="8">
        <v>490046</v>
      </c>
      <c r="B17" s="4" t="s">
        <v>21</v>
      </c>
      <c r="C17" s="4" t="s">
        <v>158</v>
      </c>
      <c r="D17" s="4" t="s">
        <v>159</v>
      </c>
      <c r="E17" s="4" t="s">
        <v>24</v>
      </c>
      <c r="F17" s="4" t="s">
        <v>25</v>
      </c>
      <c r="G17" s="13" t="s">
        <v>65</v>
      </c>
      <c r="H17" s="15" t="s">
        <v>346</v>
      </c>
    </row>
    <row r="18" spans="1:8" ht="21" hidden="1" x14ac:dyDescent="0.4">
      <c r="A18" s="8">
        <v>660049</v>
      </c>
      <c r="B18" s="4" t="s">
        <v>21</v>
      </c>
      <c r="C18" s="4" t="s">
        <v>169</v>
      </c>
      <c r="D18" s="4" t="s">
        <v>170</v>
      </c>
      <c r="E18" s="4" t="s">
        <v>61</v>
      </c>
      <c r="F18" s="4" t="s">
        <v>25</v>
      </c>
      <c r="G18" s="13" t="s">
        <v>65</v>
      </c>
      <c r="H18" s="15" t="s">
        <v>346</v>
      </c>
    </row>
    <row r="19" spans="1:8" ht="21" hidden="1" x14ac:dyDescent="0.4">
      <c r="A19" s="8">
        <v>580188</v>
      </c>
      <c r="B19" s="4" t="s">
        <v>21</v>
      </c>
      <c r="C19" s="4" t="s">
        <v>174</v>
      </c>
      <c r="D19" s="4" t="s">
        <v>175</v>
      </c>
      <c r="E19" s="4" t="s">
        <v>176</v>
      </c>
      <c r="F19" s="4" t="s">
        <v>25</v>
      </c>
      <c r="G19" s="13" t="s">
        <v>65</v>
      </c>
      <c r="H19" s="15" t="s">
        <v>346</v>
      </c>
    </row>
    <row r="20" spans="1:8" ht="21" hidden="1" x14ac:dyDescent="0.4">
      <c r="A20" s="8">
        <v>490031</v>
      </c>
      <c r="B20" s="4" t="s">
        <v>21</v>
      </c>
      <c r="C20" s="4" t="s">
        <v>188</v>
      </c>
      <c r="D20" s="4" t="s">
        <v>189</v>
      </c>
      <c r="E20" s="4" t="s">
        <v>24</v>
      </c>
      <c r="F20" s="4" t="s">
        <v>25</v>
      </c>
      <c r="G20" s="13" t="s">
        <v>65</v>
      </c>
      <c r="H20" s="15" t="s">
        <v>346</v>
      </c>
    </row>
    <row r="21" spans="1:8" ht="21" hidden="1" x14ac:dyDescent="0.4">
      <c r="A21" s="8">
        <v>620036</v>
      </c>
      <c r="B21" s="4" t="s">
        <v>21</v>
      </c>
      <c r="C21" s="4" t="s">
        <v>194</v>
      </c>
      <c r="D21" s="4" t="s">
        <v>195</v>
      </c>
      <c r="E21" s="4" t="s">
        <v>61</v>
      </c>
      <c r="F21" s="4" t="s">
        <v>25</v>
      </c>
      <c r="G21" s="13" t="s">
        <v>65</v>
      </c>
      <c r="H21" s="15" t="s">
        <v>346</v>
      </c>
    </row>
    <row r="22" spans="1:8" ht="21" hidden="1" x14ac:dyDescent="0.4">
      <c r="A22" s="8">
        <v>470055</v>
      </c>
      <c r="B22" s="4" t="s">
        <v>21</v>
      </c>
      <c r="C22" s="4" t="s">
        <v>198</v>
      </c>
      <c r="D22" s="4" t="s">
        <v>199</v>
      </c>
      <c r="E22" s="4" t="s">
        <v>24</v>
      </c>
      <c r="F22" s="4" t="s">
        <v>25</v>
      </c>
      <c r="G22" s="13" t="s">
        <v>65</v>
      </c>
      <c r="H22" s="15" t="s">
        <v>346</v>
      </c>
    </row>
    <row r="23" spans="1:8" ht="21" hidden="1" x14ac:dyDescent="0.4">
      <c r="A23" s="8">
        <v>450037</v>
      </c>
      <c r="B23" s="4" t="s">
        <v>21</v>
      </c>
      <c r="C23" s="4" t="s">
        <v>204</v>
      </c>
      <c r="D23" s="4" t="s">
        <v>205</v>
      </c>
      <c r="E23" s="4" t="s">
        <v>57</v>
      </c>
      <c r="F23" s="4" t="s">
        <v>25</v>
      </c>
      <c r="G23" s="13" t="s">
        <v>65</v>
      </c>
      <c r="H23" s="15" t="s">
        <v>346</v>
      </c>
    </row>
    <row r="24" spans="1:8" ht="21" hidden="1" x14ac:dyDescent="0.4">
      <c r="A24" s="8">
        <v>490048</v>
      </c>
      <c r="B24" s="4" t="s">
        <v>21</v>
      </c>
      <c r="C24" s="4" t="s">
        <v>206</v>
      </c>
      <c r="D24" s="4" t="s">
        <v>207</v>
      </c>
      <c r="E24" s="4" t="s">
        <v>61</v>
      </c>
      <c r="F24" s="4" t="s">
        <v>25</v>
      </c>
      <c r="G24" s="13" t="s">
        <v>65</v>
      </c>
      <c r="H24" s="10" t="s">
        <v>65</v>
      </c>
    </row>
    <row r="25" spans="1:8" ht="21" hidden="1" x14ac:dyDescent="0.4">
      <c r="A25" s="8">
        <v>650099</v>
      </c>
      <c r="B25" s="4" t="s">
        <v>21</v>
      </c>
      <c r="C25" s="4" t="s">
        <v>223</v>
      </c>
      <c r="D25" s="4" t="s">
        <v>224</v>
      </c>
      <c r="E25" s="4" t="s">
        <v>24</v>
      </c>
      <c r="F25" s="4" t="s">
        <v>25</v>
      </c>
      <c r="G25" s="13" t="s">
        <v>65</v>
      </c>
      <c r="H25" s="15" t="s">
        <v>346</v>
      </c>
    </row>
    <row r="26" spans="1:8" ht="21" hidden="1" x14ac:dyDescent="0.4">
      <c r="A26" s="8">
        <v>580194</v>
      </c>
      <c r="B26" s="4" t="s">
        <v>21</v>
      </c>
      <c r="C26" s="4" t="s">
        <v>230</v>
      </c>
      <c r="D26" s="4" t="s">
        <v>231</v>
      </c>
      <c r="E26" s="4" t="s">
        <v>100</v>
      </c>
      <c r="F26" s="4" t="s">
        <v>25</v>
      </c>
      <c r="G26" s="13" t="s">
        <v>65</v>
      </c>
      <c r="H26" s="15" t="s">
        <v>346</v>
      </c>
    </row>
    <row r="27" spans="1:8" ht="21" hidden="1" x14ac:dyDescent="0.4">
      <c r="A27" s="8">
        <v>550107</v>
      </c>
      <c r="B27" s="4" t="s">
        <v>21</v>
      </c>
      <c r="C27" s="4" t="s">
        <v>239</v>
      </c>
      <c r="D27" s="4" t="s">
        <v>240</v>
      </c>
      <c r="E27" s="4" t="s">
        <v>61</v>
      </c>
      <c r="F27" s="4" t="s">
        <v>25</v>
      </c>
      <c r="G27" s="13" t="s">
        <v>65</v>
      </c>
      <c r="H27" s="15" t="s">
        <v>346</v>
      </c>
    </row>
    <row r="28" spans="1:8" ht="21" hidden="1" x14ac:dyDescent="0.4">
      <c r="A28" s="8">
        <v>480245</v>
      </c>
      <c r="B28" s="4" t="s">
        <v>21</v>
      </c>
      <c r="C28" s="4" t="s">
        <v>241</v>
      </c>
      <c r="D28" s="4" t="s">
        <v>242</v>
      </c>
      <c r="E28" s="4" t="s">
        <v>57</v>
      </c>
      <c r="F28" s="4" t="s">
        <v>25</v>
      </c>
      <c r="G28" s="13" t="s">
        <v>65</v>
      </c>
      <c r="H28" s="15" t="s">
        <v>346</v>
      </c>
    </row>
    <row r="29" spans="1:8" ht="21" hidden="1" x14ac:dyDescent="0.4">
      <c r="A29" s="8">
        <v>490025</v>
      </c>
      <c r="B29" s="4" t="s">
        <v>21</v>
      </c>
      <c r="C29" s="4" t="s">
        <v>251</v>
      </c>
      <c r="D29" s="4" t="s">
        <v>252</v>
      </c>
      <c r="E29" s="4" t="s">
        <v>57</v>
      </c>
      <c r="F29" s="4" t="s">
        <v>25</v>
      </c>
      <c r="G29" s="13" t="s">
        <v>65</v>
      </c>
      <c r="H29" s="15" t="s">
        <v>346</v>
      </c>
    </row>
    <row r="30" spans="1:8" ht="21" hidden="1" x14ac:dyDescent="0.4">
      <c r="A30" s="8">
        <v>480176</v>
      </c>
      <c r="B30" s="4" t="s">
        <v>21</v>
      </c>
      <c r="C30" s="4" t="s">
        <v>253</v>
      </c>
      <c r="D30" s="4" t="s">
        <v>254</v>
      </c>
      <c r="E30" s="4" t="s">
        <v>57</v>
      </c>
      <c r="F30" s="4" t="s">
        <v>25</v>
      </c>
      <c r="G30" s="13" t="s">
        <v>65</v>
      </c>
      <c r="H30" s="15" t="s">
        <v>346</v>
      </c>
    </row>
    <row r="31" spans="1:8" ht="21" hidden="1" x14ac:dyDescent="0.4">
      <c r="A31" s="8">
        <v>340145</v>
      </c>
      <c r="B31" s="4" t="s">
        <v>21</v>
      </c>
      <c r="C31" s="4" t="s">
        <v>257</v>
      </c>
      <c r="D31" s="4" t="s">
        <v>258</v>
      </c>
      <c r="E31" s="4" t="s">
        <v>61</v>
      </c>
      <c r="F31" s="4" t="s">
        <v>25</v>
      </c>
      <c r="G31" s="13" t="s">
        <v>65</v>
      </c>
      <c r="H31" s="10" t="s">
        <v>65</v>
      </c>
    </row>
    <row r="32" spans="1:8" ht="21" hidden="1" x14ac:dyDescent="0.4">
      <c r="A32" s="8">
        <v>480199</v>
      </c>
      <c r="B32" s="4" t="s">
        <v>21</v>
      </c>
      <c r="C32" s="4" t="s">
        <v>259</v>
      </c>
      <c r="D32" s="4" t="s">
        <v>260</v>
      </c>
      <c r="E32" s="4" t="s">
        <v>24</v>
      </c>
      <c r="F32" s="4" t="s">
        <v>25</v>
      </c>
      <c r="G32" s="13" t="s">
        <v>65</v>
      </c>
      <c r="H32" s="15" t="s">
        <v>346</v>
      </c>
    </row>
    <row r="33" spans="1:8" ht="21" hidden="1" x14ac:dyDescent="0.4">
      <c r="A33" s="8">
        <v>550168</v>
      </c>
      <c r="B33" s="4" t="s">
        <v>21</v>
      </c>
      <c r="C33" s="4" t="s">
        <v>261</v>
      </c>
      <c r="D33" s="4" t="s">
        <v>262</v>
      </c>
      <c r="E33" s="4" t="s">
        <v>24</v>
      </c>
      <c r="F33" s="4" t="s">
        <v>25</v>
      </c>
      <c r="G33" s="13" t="s">
        <v>65</v>
      </c>
      <c r="H33" s="15" t="s">
        <v>346</v>
      </c>
    </row>
    <row r="34" spans="1:8" ht="21" hidden="1" x14ac:dyDescent="0.4">
      <c r="A34" s="8">
        <v>490007</v>
      </c>
      <c r="B34" s="4" t="s">
        <v>21</v>
      </c>
      <c r="C34" s="4" t="s">
        <v>265</v>
      </c>
      <c r="D34" s="4" t="s">
        <v>266</v>
      </c>
      <c r="E34" s="4" t="s">
        <v>100</v>
      </c>
      <c r="F34" s="4" t="s">
        <v>25</v>
      </c>
      <c r="G34" s="13" t="s">
        <v>65</v>
      </c>
      <c r="H34" s="15" t="s">
        <v>346</v>
      </c>
    </row>
    <row r="35" spans="1:8" ht="21" hidden="1" x14ac:dyDescent="0.4">
      <c r="A35" s="8">
        <v>420060</v>
      </c>
      <c r="B35" s="4" t="s">
        <v>21</v>
      </c>
      <c r="C35" s="4" t="s">
        <v>285</v>
      </c>
      <c r="D35" s="4" t="s">
        <v>286</v>
      </c>
      <c r="E35" s="4" t="s">
        <v>24</v>
      </c>
      <c r="F35" s="4" t="s">
        <v>25</v>
      </c>
      <c r="G35" s="13" t="s">
        <v>65</v>
      </c>
      <c r="H35" s="10" t="s">
        <v>65</v>
      </c>
    </row>
    <row r="36" spans="1:8" ht="21" hidden="1" x14ac:dyDescent="0.4">
      <c r="A36" s="8">
        <v>470007</v>
      </c>
      <c r="B36" s="4" t="s">
        <v>21</v>
      </c>
      <c r="C36" s="4" t="s">
        <v>291</v>
      </c>
      <c r="D36" s="4" t="s">
        <v>292</v>
      </c>
      <c r="E36" s="4" t="s">
        <v>57</v>
      </c>
      <c r="F36" s="4" t="s">
        <v>25</v>
      </c>
      <c r="G36" s="13" t="s">
        <v>65</v>
      </c>
      <c r="H36" s="15" t="s">
        <v>346</v>
      </c>
    </row>
    <row r="37" spans="1:8" ht="21" hidden="1" x14ac:dyDescent="0.4">
      <c r="A37" s="8">
        <v>590001</v>
      </c>
      <c r="B37" s="4" t="s">
        <v>21</v>
      </c>
      <c r="C37" s="4" t="s">
        <v>301</v>
      </c>
      <c r="D37" s="4" t="s">
        <v>302</v>
      </c>
      <c r="E37" s="4" t="s">
        <v>303</v>
      </c>
      <c r="F37" s="4" t="s">
        <v>25</v>
      </c>
      <c r="G37" s="13" t="s">
        <v>65</v>
      </c>
      <c r="H37" s="15" t="s">
        <v>346</v>
      </c>
    </row>
    <row r="38" spans="1:8" ht="21" hidden="1" x14ac:dyDescent="0.4">
      <c r="A38" s="8">
        <v>490045</v>
      </c>
      <c r="B38" s="4" t="s">
        <v>21</v>
      </c>
      <c r="C38" s="4" t="s">
        <v>304</v>
      </c>
      <c r="D38" s="4" t="s">
        <v>305</v>
      </c>
      <c r="E38" s="4" t="s">
        <v>24</v>
      </c>
      <c r="F38" s="4" t="s">
        <v>25</v>
      </c>
      <c r="G38" s="13" t="s">
        <v>65</v>
      </c>
      <c r="H38" s="15" t="s">
        <v>346</v>
      </c>
    </row>
    <row r="39" spans="1:8" ht="21" hidden="1" x14ac:dyDescent="0.4">
      <c r="A39" s="8">
        <v>410008</v>
      </c>
      <c r="B39" s="4" t="s">
        <v>21</v>
      </c>
      <c r="C39" s="4" t="s">
        <v>306</v>
      </c>
      <c r="D39" s="4" t="s">
        <v>307</v>
      </c>
      <c r="E39" s="4" t="s">
        <v>57</v>
      </c>
      <c r="F39" s="4" t="s">
        <v>25</v>
      </c>
      <c r="G39" s="13" t="s">
        <v>65</v>
      </c>
      <c r="H39" s="10" t="s">
        <v>65</v>
      </c>
    </row>
    <row r="40" spans="1:8" ht="21" hidden="1" x14ac:dyDescent="0.4">
      <c r="A40" s="8">
        <v>530110</v>
      </c>
      <c r="B40" s="4" t="s">
        <v>21</v>
      </c>
      <c r="C40" s="4" t="s">
        <v>308</v>
      </c>
      <c r="D40" s="4" t="s">
        <v>309</v>
      </c>
      <c r="E40" s="4" t="s">
        <v>88</v>
      </c>
      <c r="F40" s="4" t="s">
        <v>25</v>
      </c>
      <c r="G40" s="13" t="s">
        <v>65</v>
      </c>
      <c r="H40" s="15" t="s">
        <v>346</v>
      </c>
    </row>
    <row r="41" spans="1:8" ht="21" hidden="1" x14ac:dyDescent="0.4">
      <c r="A41" s="8">
        <v>480028</v>
      </c>
      <c r="B41" s="4" t="s">
        <v>21</v>
      </c>
      <c r="C41" s="4" t="s">
        <v>316</v>
      </c>
      <c r="D41" s="4" t="s">
        <v>317</v>
      </c>
      <c r="E41" s="4" t="s">
        <v>24</v>
      </c>
      <c r="F41" s="4" t="s">
        <v>25</v>
      </c>
      <c r="G41" s="13" t="s">
        <v>65</v>
      </c>
      <c r="H41" s="15" t="s">
        <v>346</v>
      </c>
    </row>
    <row r="42" spans="1:8" ht="21" hidden="1" x14ac:dyDescent="0.4">
      <c r="A42" s="8">
        <v>340016</v>
      </c>
      <c r="B42" s="4" t="s">
        <v>21</v>
      </c>
      <c r="C42" s="4" t="s">
        <v>319</v>
      </c>
      <c r="D42" s="4" t="s">
        <v>320</v>
      </c>
      <c r="E42" s="4" t="s">
        <v>57</v>
      </c>
      <c r="F42" s="4" t="s">
        <v>25</v>
      </c>
      <c r="G42" s="14" t="s">
        <v>345</v>
      </c>
      <c r="H42" s="6" t="s">
        <v>30</v>
      </c>
    </row>
    <row r="43" spans="1:8" ht="21" hidden="1" x14ac:dyDescent="0.4">
      <c r="A43" s="8">
        <v>340019</v>
      </c>
      <c r="B43" s="4" t="s">
        <v>21</v>
      </c>
      <c r="C43" s="4" t="s">
        <v>334</v>
      </c>
      <c r="D43" s="4" t="s">
        <v>335</v>
      </c>
      <c r="E43" s="4" t="s">
        <v>24</v>
      </c>
      <c r="F43" s="4" t="s">
        <v>25</v>
      </c>
      <c r="G43" s="14" t="s">
        <v>345</v>
      </c>
      <c r="H43" s="10" t="s">
        <v>65</v>
      </c>
    </row>
    <row r="44" spans="1:8" ht="21" hidden="1" x14ac:dyDescent="0.4">
      <c r="A44" s="8">
        <v>340106</v>
      </c>
      <c r="B44" s="4" t="s">
        <v>21</v>
      </c>
      <c r="C44" s="4" t="s">
        <v>339</v>
      </c>
      <c r="D44" s="4" t="s">
        <v>340</v>
      </c>
      <c r="E44" s="4" t="s">
        <v>61</v>
      </c>
      <c r="F44" s="4" t="s">
        <v>25</v>
      </c>
      <c r="G44" s="14" t="s">
        <v>345</v>
      </c>
      <c r="H44" s="10" t="s">
        <v>65</v>
      </c>
    </row>
    <row r="45" spans="1:8" ht="21" hidden="1" x14ac:dyDescent="0.4">
      <c r="A45" s="8">
        <v>340118</v>
      </c>
      <c r="B45" s="4" t="s">
        <v>21</v>
      </c>
      <c r="C45" s="4" t="s">
        <v>341</v>
      </c>
      <c r="D45" s="4" t="s">
        <v>342</v>
      </c>
      <c r="E45" s="4" t="s">
        <v>88</v>
      </c>
      <c r="F45" s="4" t="s">
        <v>25</v>
      </c>
      <c r="G45" s="14" t="s">
        <v>345</v>
      </c>
      <c r="H45" s="10" t="s">
        <v>65</v>
      </c>
    </row>
  </sheetData>
  <autoFilter ref="A2:H45" xr:uid="{E0941422-814E-4936-836D-C452A512DB44}">
    <filterColumn colId="4">
      <filters>
        <filter val="วป.วบก."/>
      </filters>
    </filterColumn>
  </autoFilter>
  <conditionalFormatting sqref="A1:A45">
    <cfRule type="duplicateValues" dxfId="3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00E7-55A9-4A20-B57E-379DD74FFC28}">
  <sheetPr filterMode="1">
    <tabColor rgb="FF00B050"/>
  </sheetPr>
  <dimension ref="A1:H19"/>
  <sheetViews>
    <sheetView workbookViewId="0">
      <selection activeCell="D37" sqref="D37"/>
    </sheetView>
  </sheetViews>
  <sheetFormatPr defaultRowHeight="16.5" x14ac:dyDescent="0.3"/>
  <cols>
    <col min="4" max="4" width="11.7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580103</v>
      </c>
      <c r="B3" s="4" t="s">
        <v>106</v>
      </c>
      <c r="C3" s="4" t="s">
        <v>236</v>
      </c>
      <c r="D3" s="4" t="s">
        <v>237</v>
      </c>
      <c r="E3" s="4" t="s">
        <v>238</v>
      </c>
      <c r="F3" s="4" t="s">
        <v>39</v>
      </c>
      <c r="G3" s="13" t="s">
        <v>65</v>
      </c>
      <c r="H3" s="15" t="s">
        <v>346</v>
      </c>
    </row>
    <row r="4" spans="1:8" ht="21" hidden="1" x14ac:dyDescent="0.4">
      <c r="A4" s="8">
        <v>330026</v>
      </c>
      <c r="B4" s="4" t="s">
        <v>75</v>
      </c>
      <c r="C4" s="4" t="s">
        <v>328</v>
      </c>
      <c r="D4" s="4" t="s">
        <v>329</v>
      </c>
      <c r="E4" s="4" t="s">
        <v>238</v>
      </c>
      <c r="F4" s="4" t="s">
        <v>39</v>
      </c>
      <c r="G4" s="14" t="s">
        <v>345</v>
      </c>
      <c r="H4" s="10" t="s">
        <v>65</v>
      </c>
    </row>
    <row r="5" spans="1:8" ht="21" hidden="1" x14ac:dyDescent="0.4">
      <c r="A5" s="8">
        <v>510001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39</v>
      </c>
      <c r="G5" s="13" t="s">
        <v>65</v>
      </c>
      <c r="H5" s="15" t="s">
        <v>346</v>
      </c>
    </row>
    <row r="6" spans="1:8" ht="21" hidden="1" x14ac:dyDescent="0.4">
      <c r="A6" s="8">
        <v>420019</v>
      </c>
      <c r="B6" s="4" t="s">
        <v>21</v>
      </c>
      <c r="C6" s="4" t="s">
        <v>221</v>
      </c>
      <c r="D6" s="4" t="s">
        <v>222</v>
      </c>
      <c r="E6" s="4" t="s">
        <v>78</v>
      </c>
      <c r="F6" s="4" t="s">
        <v>39</v>
      </c>
      <c r="G6" s="13" t="s">
        <v>65</v>
      </c>
      <c r="H6" s="10" t="s">
        <v>65</v>
      </c>
    </row>
    <row r="7" spans="1:8" ht="21" hidden="1" x14ac:dyDescent="0.4">
      <c r="A7" s="8">
        <v>540365</v>
      </c>
      <c r="B7" s="4" t="s">
        <v>21</v>
      </c>
      <c r="C7" s="4" t="s">
        <v>36</v>
      </c>
      <c r="D7" s="4" t="s">
        <v>37</v>
      </c>
      <c r="E7" s="4" t="s">
        <v>38</v>
      </c>
      <c r="F7" s="4" t="s">
        <v>39</v>
      </c>
      <c r="G7" s="12" t="s">
        <v>30</v>
      </c>
      <c r="H7" s="15" t="s">
        <v>346</v>
      </c>
    </row>
    <row r="8" spans="1:8" ht="21" hidden="1" x14ac:dyDescent="0.4">
      <c r="A8" s="8">
        <v>490148</v>
      </c>
      <c r="B8" s="4" t="s">
        <v>106</v>
      </c>
      <c r="C8" s="4" t="s">
        <v>122</v>
      </c>
      <c r="D8" s="4" t="s">
        <v>123</v>
      </c>
      <c r="E8" s="4" t="s">
        <v>38</v>
      </c>
      <c r="F8" s="4" t="s">
        <v>39</v>
      </c>
      <c r="G8" s="13" t="s">
        <v>65</v>
      </c>
      <c r="H8" s="15" t="s">
        <v>346</v>
      </c>
    </row>
    <row r="9" spans="1:8" ht="21" hidden="1" x14ac:dyDescent="0.4">
      <c r="A9" s="8">
        <v>660052</v>
      </c>
      <c r="B9" s="4" t="s">
        <v>21</v>
      </c>
      <c r="C9" s="4" t="s">
        <v>110</v>
      </c>
      <c r="D9" s="4" t="s">
        <v>111</v>
      </c>
      <c r="E9" s="4" t="s">
        <v>112</v>
      </c>
      <c r="F9" s="4" t="s">
        <v>39</v>
      </c>
      <c r="G9" s="13" t="s">
        <v>65</v>
      </c>
      <c r="H9" s="15" t="s">
        <v>346</v>
      </c>
    </row>
    <row r="10" spans="1:8" ht="21" x14ac:dyDescent="0.4">
      <c r="A10" s="8">
        <v>490147</v>
      </c>
      <c r="B10" s="4" t="s">
        <v>21</v>
      </c>
      <c r="C10" s="4" t="s">
        <v>277</v>
      </c>
      <c r="D10" s="4" t="s">
        <v>278</v>
      </c>
      <c r="E10" s="4" t="s">
        <v>279</v>
      </c>
      <c r="F10" s="4" t="s">
        <v>39</v>
      </c>
      <c r="G10" s="13" t="s">
        <v>65</v>
      </c>
      <c r="H10" s="15" t="s">
        <v>346</v>
      </c>
    </row>
    <row r="11" spans="1:8" ht="21" x14ac:dyDescent="0.4">
      <c r="A11" s="8">
        <v>410054</v>
      </c>
      <c r="B11" s="4" t="s">
        <v>21</v>
      </c>
      <c r="C11" s="4" t="s">
        <v>269</v>
      </c>
      <c r="D11" s="4" t="s">
        <v>327</v>
      </c>
      <c r="E11" s="4" t="s">
        <v>279</v>
      </c>
      <c r="F11" s="4" t="s">
        <v>39</v>
      </c>
      <c r="G11" s="14" t="s">
        <v>345</v>
      </c>
      <c r="H11" s="10" t="s">
        <v>65</v>
      </c>
    </row>
    <row r="12" spans="1:8" ht="21" hidden="1" x14ac:dyDescent="0.4">
      <c r="A12" s="8">
        <v>540208</v>
      </c>
      <c r="B12" s="4" t="s">
        <v>21</v>
      </c>
      <c r="C12" s="4" t="s">
        <v>212</v>
      </c>
      <c r="D12" s="4" t="s">
        <v>213</v>
      </c>
      <c r="E12" s="4" t="s">
        <v>214</v>
      </c>
      <c r="F12" s="4" t="s">
        <v>39</v>
      </c>
      <c r="G12" s="13" t="s">
        <v>65</v>
      </c>
      <c r="H12" s="15" t="s">
        <v>346</v>
      </c>
    </row>
    <row r="13" spans="1:8" ht="21" hidden="1" x14ac:dyDescent="0.4">
      <c r="A13" s="8">
        <v>650024</v>
      </c>
      <c r="B13" s="4" t="s">
        <v>21</v>
      </c>
      <c r="C13" s="4" t="s">
        <v>134</v>
      </c>
      <c r="D13" s="4" t="s">
        <v>135</v>
      </c>
      <c r="E13" s="4" t="s">
        <v>136</v>
      </c>
      <c r="F13" s="4" t="s">
        <v>39</v>
      </c>
      <c r="G13" s="13" t="s">
        <v>65</v>
      </c>
      <c r="H13" s="15" t="s">
        <v>346</v>
      </c>
    </row>
    <row r="14" spans="1:8" ht="21" hidden="1" x14ac:dyDescent="0.4">
      <c r="A14" s="8">
        <v>640062</v>
      </c>
      <c r="B14" s="4" t="s">
        <v>21</v>
      </c>
      <c r="C14" s="4" t="s">
        <v>295</v>
      </c>
      <c r="D14" s="4" t="s">
        <v>296</v>
      </c>
      <c r="E14" s="4" t="s">
        <v>136</v>
      </c>
      <c r="F14" s="4" t="s">
        <v>39</v>
      </c>
      <c r="G14" s="13" t="s">
        <v>65</v>
      </c>
      <c r="H14" s="15" t="s">
        <v>346</v>
      </c>
    </row>
    <row r="15" spans="1:8" ht="21" hidden="1" x14ac:dyDescent="0.4">
      <c r="A15" s="8">
        <v>550057</v>
      </c>
      <c r="B15" s="4" t="s">
        <v>106</v>
      </c>
      <c r="C15" s="4" t="s">
        <v>280</v>
      </c>
      <c r="D15" s="4" t="s">
        <v>281</v>
      </c>
      <c r="E15" s="4" t="s">
        <v>282</v>
      </c>
      <c r="F15" s="4" t="s">
        <v>39</v>
      </c>
      <c r="G15" s="13" t="s">
        <v>65</v>
      </c>
      <c r="H15" s="15" t="s">
        <v>346</v>
      </c>
    </row>
    <row r="16" spans="1:8" ht="21" hidden="1" x14ac:dyDescent="0.4">
      <c r="A16" s="8">
        <v>490058</v>
      </c>
      <c r="B16" s="4" t="s">
        <v>21</v>
      </c>
      <c r="C16" s="4" t="s">
        <v>225</v>
      </c>
      <c r="D16" s="4" t="s">
        <v>226</v>
      </c>
      <c r="E16" s="4" t="s">
        <v>227</v>
      </c>
      <c r="F16" s="4" t="s">
        <v>39</v>
      </c>
      <c r="G16" s="13" t="s">
        <v>65</v>
      </c>
      <c r="H16" s="15" t="s">
        <v>346</v>
      </c>
    </row>
    <row r="17" spans="1:8" ht="21" hidden="1" x14ac:dyDescent="0.4">
      <c r="A17" s="8">
        <v>600122</v>
      </c>
      <c r="B17" s="4" t="s">
        <v>21</v>
      </c>
      <c r="C17" s="4" t="s">
        <v>137</v>
      </c>
      <c r="D17" s="4" t="s">
        <v>138</v>
      </c>
      <c r="E17" s="4" t="s">
        <v>139</v>
      </c>
      <c r="F17" s="4" t="s">
        <v>39</v>
      </c>
      <c r="G17" s="13" t="s">
        <v>65</v>
      </c>
      <c r="H17" s="15" t="s">
        <v>346</v>
      </c>
    </row>
    <row r="18" spans="1:8" ht="21" hidden="1" x14ac:dyDescent="0.4">
      <c r="A18" s="8">
        <v>610040</v>
      </c>
      <c r="B18" s="4" t="s">
        <v>21</v>
      </c>
      <c r="C18" s="4" t="s">
        <v>267</v>
      </c>
      <c r="D18" s="4" t="s">
        <v>268</v>
      </c>
      <c r="E18" s="4" t="s">
        <v>139</v>
      </c>
      <c r="F18" s="4" t="s">
        <v>39</v>
      </c>
      <c r="G18" s="13" t="s">
        <v>65</v>
      </c>
      <c r="H18" s="15" t="s">
        <v>346</v>
      </c>
    </row>
    <row r="19" spans="1:8" ht="21" hidden="1" x14ac:dyDescent="0.4">
      <c r="A19" s="8">
        <v>360098</v>
      </c>
      <c r="B19" s="4" t="s">
        <v>21</v>
      </c>
      <c r="C19" s="4" t="s">
        <v>83</v>
      </c>
      <c r="D19" s="4" t="s">
        <v>84</v>
      </c>
      <c r="E19" s="4" t="s">
        <v>85</v>
      </c>
      <c r="F19" s="4" t="s">
        <v>39</v>
      </c>
      <c r="G19" s="13" t="s">
        <v>65</v>
      </c>
      <c r="H19" s="15" t="s">
        <v>346</v>
      </c>
    </row>
  </sheetData>
  <autoFilter ref="A2:H19" xr:uid="{941B6B75-535B-48BD-95FA-2CCEF28CFB90}">
    <filterColumn colId="4">
      <filters>
        <filter val="ปภ.ผยก."/>
      </filters>
    </filterColumn>
    <sortState xmlns:xlrd2="http://schemas.microsoft.com/office/spreadsheetml/2017/richdata2" ref="A3:H19">
      <sortCondition ref="E2"/>
    </sortState>
  </autoFilter>
  <conditionalFormatting sqref="A1:A19">
    <cfRule type="duplicateValues" dxfId="2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6B75-535B-48BD-95FA-2CCEF28CFB90}">
  <sheetPr filterMode="1">
    <tabColor rgb="FF00B050"/>
  </sheetPr>
  <dimension ref="A1:H19"/>
  <sheetViews>
    <sheetView workbookViewId="0">
      <selection activeCell="A19" sqref="A19"/>
    </sheetView>
  </sheetViews>
  <sheetFormatPr defaultRowHeight="16.5" x14ac:dyDescent="0.3"/>
  <cols>
    <col min="4" max="4" width="11.7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x14ac:dyDescent="0.4">
      <c r="A3" s="8">
        <v>580103</v>
      </c>
      <c r="B3" s="4" t="s">
        <v>106</v>
      </c>
      <c r="C3" s="4" t="s">
        <v>236</v>
      </c>
      <c r="D3" s="4" t="s">
        <v>237</v>
      </c>
      <c r="E3" s="4" t="s">
        <v>238</v>
      </c>
      <c r="F3" s="4" t="s">
        <v>39</v>
      </c>
      <c r="G3" s="13" t="s">
        <v>65</v>
      </c>
      <c r="H3" s="15" t="s">
        <v>346</v>
      </c>
    </row>
    <row r="4" spans="1:8" ht="21" x14ac:dyDescent="0.4">
      <c r="A4" s="8">
        <v>330026</v>
      </c>
      <c r="B4" s="4" t="s">
        <v>75</v>
      </c>
      <c r="C4" s="4" t="s">
        <v>328</v>
      </c>
      <c r="D4" s="4" t="s">
        <v>329</v>
      </c>
      <c r="E4" s="4" t="s">
        <v>238</v>
      </c>
      <c r="F4" s="4" t="s">
        <v>39</v>
      </c>
      <c r="G4" s="14" t="s">
        <v>345</v>
      </c>
      <c r="H4" s="10" t="s">
        <v>65</v>
      </c>
    </row>
    <row r="5" spans="1:8" ht="21" hidden="1" x14ac:dyDescent="0.4">
      <c r="A5" s="8">
        <v>510001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39</v>
      </c>
      <c r="G5" s="13" t="s">
        <v>65</v>
      </c>
      <c r="H5" s="15" t="s">
        <v>346</v>
      </c>
    </row>
    <row r="6" spans="1:8" ht="21" hidden="1" x14ac:dyDescent="0.4">
      <c r="A6" s="8">
        <v>420019</v>
      </c>
      <c r="B6" s="4" t="s">
        <v>21</v>
      </c>
      <c r="C6" s="4" t="s">
        <v>221</v>
      </c>
      <c r="D6" s="4" t="s">
        <v>222</v>
      </c>
      <c r="E6" s="4" t="s">
        <v>78</v>
      </c>
      <c r="F6" s="4" t="s">
        <v>39</v>
      </c>
      <c r="G6" s="13" t="s">
        <v>65</v>
      </c>
      <c r="H6" s="10" t="s">
        <v>65</v>
      </c>
    </row>
    <row r="7" spans="1:8" ht="21" hidden="1" x14ac:dyDescent="0.4">
      <c r="A7" s="8">
        <v>540365</v>
      </c>
      <c r="B7" s="4" t="s">
        <v>21</v>
      </c>
      <c r="C7" s="4" t="s">
        <v>36</v>
      </c>
      <c r="D7" s="4" t="s">
        <v>37</v>
      </c>
      <c r="E7" s="4" t="s">
        <v>38</v>
      </c>
      <c r="F7" s="4" t="s">
        <v>39</v>
      </c>
      <c r="G7" s="12" t="s">
        <v>30</v>
      </c>
      <c r="H7" s="15" t="s">
        <v>346</v>
      </c>
    </row>
    <row r="8" spans="1:8" ht="21" hidden="1" x14ac:dyDescent="0.4">
      <c r="A8" s="8">
        <v>490148</v>
      </c>
      <c r="B8" s="4" t="s">
        <v>106</v>
      </c>
      <c r="C8" s="4" t="s">
        <v>122</v>
      </c>
      <c r="D8" s="4" t="s">
        <v>123</v>
      </c>
      <c r="E8" s="4" t="s">
        <v>38</v>
      </c>
      <c r="F8" s="4" t="s">
        <v>39</v>
      </c>
      <c r="G8" s="13" t="s">
        <v>65</v>
      </c>
      <c r="H8" s="15" t="s">
        <v>346</v>
      </c>
    </row>
    <row r="9" spans="1:8" ht="21" hidden="1" x14ac:dyDescent="0.4">
      <c r="A9" s="8">
        <v>660052</v>
      </c>
      <c r="B9" s="4" t="s">
        <v>21</v>
      </c>
      <c r="C9" s="4" t="s">
        <v>110</v>
      </c>
      <c r="D9" s="4" t="s">
        <v>111</v>
      </c>
      <c r="E9" s="4" t="s">
        <v>112</v>
      </c>
      <c r="F9" s="4" t="s">
        <v>39</v>
      </c>
      <c r="G9" s="13" t="s">
        <v>65</v>
      </c>
      <c r="H9" s="15" t="s">
        <v>346</v>
      </c>
    </row>
    <row r="10" spans="1:8" ht="21" hidden="1" x14ac:dyDescent="0.4">
      <c r="A10" s="8">
        <v>490147</v>
      </c>
      <c r="B10" s="4" t="s">
        <v>21</v>
      </c>
      <c r="C10" s="4" t="s">
        <v>277</v>
      </c>
      <c r="D10" s="4" t="s">
        <v>278</v>
      </c>
      <c r="E10" s="4" t="s">
        <v>279</v>
      </c>
      <c r="F10" s="4" t="s">
        <v>39</v>
      </c>
      <c r="G10" s="13" t="s">
        <v>65</v>
      </c>
      <c r="H10" s="15" t="s">
        <v>346</v>
      </c>
    </row>
    <row r="11" spans="1:8" ht="21" hidden="1" x14ac:dyDescent="0.4">
      <c r="A11" s="8">
        <v>410054</v>
      </c>
      <c r="B11" s="4" t="s">
        <v>21</v>
      </c>
      <c r="C11" s="4" t="s">
        <v>269</v>
      </c>
      <c r="D11" s="4" t="s">
        <v>327</v>
      </c>
      <c r="E11" s="4" t="s">
        <v>279</v>
      </c>
      <c r="F11" s="4" t="s">
        <v>39</v>
      </c>
      <c r="G11" s="14" t="s">
        <v>345</v>
      </c>
      <c r="H11" s="10" t="s">
        <v>65</v>
      </c>
    </row>
    <row r="12" spans="1:8" ht="21" hidden="1" x14ac:dyDescent="0.4">
      <c r="A12" s="8">
        <v>540208</v>
      </c>
      <c r="B12" s="4" t="s">
        <v>21</v>
      </c>
      <c r="C12" s="4" t="s">
        <v>212</v>
      </c>
      <c r="D12" s="4" t="s">
        <v>213</v>
      </c>
      <c r="E12" s="4" t="s">
        <v>214</v>
      </c>
      <c r="F12" s="4" t="s">
        <v>39</v>
      </c>
      <c r="G12" s="13" t="s">
        <v>65</v>
      </c>
      <c r="H12" s="15" t="s">
        <v>346</v>
      </c>
    </row>
    <row r="13" spans="1:8" ht="21" hidden="1" x14ac:dyDescent="0.4">
      <c r="A13" s="8">
        <v>650024</v>
      </c>
      <c r="B13" s="4" t="s">
        <v>21</v>
      </c>
      <c r="C13" s="4" t="s">
        <v>134</v>
      </c>
      <c r="D13" s="4" t="s">
        <v>135</v>
      </c>
      <c r="E13" s="4" t="s">
        <v>136</v>
      </c>
      <c r="F13" s="4" t="s">
        <v>39</v>
      </c>
      <c r="G13" s="13" t="s">
        <v>65</v>
      </c>
      <c r="H13" s="15" t="s">
        <v>346</v>
      </c>
    </row>
    <row r="14" spans="1:8" ht="21" hidden="1" x14ac:dyDescent="0.4">
      <c r="A14" s="8">
        <v>640062</v>
      </c>
      <c r="B14" s="4" t="s">
        <v>21</v>
      </c>
      <c r="C14" s="4" t="s">
        <v>295</v>
      </c>
      <c r="D14" s="4" t="s">
        <v>296</v>
      </c>
      <c r="E14" s="4" t="s">
        <v>136</v>
      </c>
      <c r="F14" s="4" t="s">
        <v>39</v>
      </c>
      <c r="G14" s="13" t="s">
        <v>65</v>
      </c>
      <c r="H14" s="15" t="s">
        <v>346</v>
      </c>
    </row>
    <row r="15" spans="1:8" ht="21" x14ac:dyDescent="0.4">
      <c r="A15" s="8">
        <v>550057</v>
      </c>
      <c r="B15" s="4" t="s">
        <v>106</v>
      </c>
      <c r="C15" s="4" t="s">
        <v>280</v>
      </c>
      <c r="D15" s="4" t="s">
        <v>281</v>
      </c>
      <c r="E15" s="4" t="s">
        <v>282</v>
      </c>
      <c r="F15" s="4" t="s">
        <v>39</v>
      </c>
      <c r="G15" s="13" t="s">
        <v>65</v>
      </c>
      <c r="H15" s="15" t="s">
        <v>346</v>
      </c>
    </row>
    <row r="16" spans="1:8" ht="21" x14ac:dyDescent="0.4">
      <c r="A16" s="8">
        <v>490058</v>
      </c>
      <c r="B16" s="4" t="s">
        <v>21</v>
      </c>
      <c r="C16" s="4" t="s">
        <v>225</v>
      </c>
      <c r="D16" s="4" t="s">
        <v>226</v>
      </c>
      <c r="E16" s="4" t="s">
        <v>227</v>
      </c>
      <c r="F16" s="4" t="s">
        <v>39</v>
      </c>
      <c r="G16" s="13" t="s">
        <v>65</v>
      </c>
      <c r="H16" s="15" t="s">
        <v>346</v>
      </c>
    </row>
    <row r="17" spans="1:8" ht="21" hidden="1" x14ac:dyDescent="0.4">
      <c r="A17" s="8">
        <v>600122</v>
      </c>
      <c r="B17" s="4" t="s">
        <v>21</v>
      </c>
      <c r="C17" s="4" t="s">
        <v>137</v>
      </c>
      <c r="D17" s="4" t="s">
        <v>138</v>
      </c>
      <c r="E17" s="4" t="s">
        <v>139</v>
      </c>
      <c r="F17" s="4" t="s">
        <v>39</v>
      </c>
      <c r="G17" s="13" t="s">
        <v>65</v>
      </c>
      <c r="H17" s="15" t="s">
        <v>346</v>
      </c>
    </row>
    <row r="18" spans="1:8" ht="21" hidden="1" x14ac:dyDescent="0.4">
      <c r="A18" s="8">
        <v>610040</v>
      </c>
      <c r="B18" s="4" t="s">
        <v>21</v>
      </c>
      <c r="C18" s="4" t="s">
        <v>267</v>
      </c>
      <c r="D18" s="4" t="s">
        <v>268</v>
      </c>
      <c r="E18" s="4" t="s">
        <v>139</v>
      </c>
      <c r="F18" s="4" t="s">
        <v>39</v>
      </c>
      <c r="G18" s="13" t="s">
        <v>65</v>
      </c>
      <c r="H18" s="15" t="s">
        <v>346</v>
      </c>
    </row>
    <row r="19" spans="1:8" ht="21" x14ac:dyDescent="0.4">
      <c r="A19" s="8">
        <v>360098</v>
      </c>
      <c r="B19" s="4" t="s">
        <v>21</v>
      </c>
      <c r="C19" s="4" t="s">
        <v>83</v>
      </c>
      <c r="D19" s="4" t="s">
        <v>84</v>
      </c>
      <c r="E19" s="4" t="s">
        <v>85</v>
      </c>
      <c r="F19" s="4" t="s">
        <v>39</v>
      </c>
      <c r="G19" s="13" t="s">
        <v>65</v>
      </c>
      <c r="H19" s="15" t="s">
        <v>346</v>
      </c>
    </row>
  </sheetData>
  <autoFilter ref="A2:H19" xr:uid="{941B6B75-535B-48BD-95FA-2CCEF28CFB90}">
    <filterColumn colId="4">
      <filters>
        <filter val="กช.บรก."/>
        <filter val="พน.บรก."/>
        <filter val="รส.บรก."/>
        <filter val="อท.บรก."/>
      </filters>
    </filterColumn>
    <sortState xmlns:xlrd2="http://schemas.microsoft.com/office/spreadsheetml/2017/richdata2" ref="A3:H19">
      <sortCondition ref="E2"/>
    </sortState>
  </autoFilter>
  <conditionalFormatting sqref="A1:A19">
    <cfRule type="duplicateValues" dxfId="1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5A16-097E-4544-B6FD-B6D29FF40F0F}">
  <sheetPr filterMode="1">
    <tabColor rgb="FF00B050"/>
  </sheetPr>
  <dimension ref="A1:H19"/>
  <sheetViews>
    <sheetView workbookViewId="0">
      <selection activeCell="D7" sqref="D7"/>
    </sheetView>
  </sheetViews>
  <sheetFormatPr defaultRowHeight="16.5" x14ac:dyDescent="0.3"/>
  <cols>
    <col min="4" max="4" width="11.75" bestFit="1" customWidth="1"/>
    <col min="7" max="7" width="24.375" bestFit="1" customWidth="1"/>
    <col min="8" max="8" width="39.625" bestFit="1" customWidth="1"/>
  </cols>
  <sheetData>
    <row r="1" spans="1:8" ht="21.75" x14ac:dyDescent="0.45">
      <c r="A1" s="7" t="s">
        <v>0</v>
      </c>
      <c r="B1" s="1"/>
      <c r="C1" s="1"/>
      <c r="D1" s="1"/>
      <c r="E1" s="1"/>
      <c r="F1" s="1"/>
      <c r="G1" s="1"/>
      <c r="H1" s="1"/>
    </row>
    <row r="2" spans="1:8" ht="21.75" x14ac:dyDescent="0.4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1" t="s">
        <v>20</v>
      </c>
      <c r="H2" s="3" t="s">
        <v>318</v>
      </c>
    </row>
    <row r="3" spans="1:8" ht="21" hidden="1" x14ac:dyDescent="0.4">
      <c r="A3" s="8">
        <v>580103</v>
      </c>
      <c r="B3" s="4" t="s">
        <v>106</v>
      </c>
      <c r="C3" s="4" t="s">
        <v>236</v>
      </c>
      <c r="D3" s="4" t="s">
        <v>237</v>
      </c>
      <c r="E3" s="4" t="s">
        <v>238</v>
      </c>
      <c r="F3" s="4" t="s">
        <v>39</v>
      </c>
      <c r="G3" s="13" t="s">
        <v>65</v>
      </c>
      <c r="H3" s="15" t="s">
        <v>346</v>
      </c>
    </row>
    <row r="4" spans="1:8" ht="21" hidden="1" x14ac:dyDescent="0.4">
      <c r="A4" s="8">
        <v>330026</v>
      </c>
      <c r="B4" s="4" t="s">
        <v>75</v>
      </c>
      <c r="C4" s="4" t="s">
        <v>328</v>
      </c>
      <c r="D4" s="4" t="s">
        <v>329</v>
      </c>
      <c r="E4" s="4" t="s">
        <v>238</v>
      </c>
      <c r="F4" s="4" t="s">
        <v>39</v>
      </c>
      <c r="G4" s="14" t="s">
        <v>345</v>
      </c>
      <c r="H4" s="10" t="s">
        <v>65</v>
      </c>
    </row>
    <row r="5" spans="1:8" ht="21" x14ac:dyDescent="0.4">
      <c r="A5" s="8">
        <v>510001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39</v>
      </c>
      <c r="G5" s="13" t="s">
        <v>65</v>
      </c>
      <c r="H5" s="15" t="s">
        <v>346</v>
      </c>
    </row>
    <row r="6" spans="1:8" ht="21" x14ac:dyDescent="0.4">
      <c r="A6" s="8">
        <v>420019</v>
      </c>
      <c r="B6" s="4" t="s">
        <v>21</v>
      </c>
      <c r="C6" s="4" t="s">
        <v>221</v>
      </c>
      <c r="D6" s="4" t="s">
        <v>222</v>
      </c>
      <c r="E6" s="4" t="s">
        <v>78</v>
      </c>
      <c r="F6" s="4" t="s">
        <v>39</v>
      </c>
      <c r="G6" s="13" t="s">
        <v>65</v>
      </c>
      <c r="H6" s="10" t="s">
        <v>65</v>
      </c>
    </row>
    <row r="7" spans="1:8" ht="21" x14ac:dyDescent="0.4">
      <c r="A7" s="8">
        <v>540365</v>
      </c>
      <c r="B7" s="4" t="s">
        <v>21</v>
      </c>
      <c r="C7" s="4" t="s">
        <v>36</v>
      </c>
      <c r="D7" s="4" t="s">
        <v>37</v>
      </c>
      <c r="E7" s="4" t="s">
        <v>38</v>
      </c>
      <c r="F7" s="4" t="s">
        <v>39</v>
      </c>
      <c r="G7" s="12" t="s">
        <v>30</v>
      </c>
      <c r="H7" s="15" t="s">
        <v>346</v>
      </c>
    </row>
    <row r="8" spans="1:8" ht="21" x14ac:dyDescent="0.4">
      <c r="A8" s="8">
        <v>490148</v>
      </c>
      <c r="B8" s="4" t="s">
        <v>106</v>
      </c>
      <c r="C8" s="4" t="s">
        <v>122</v>
      </c>
      <c r="D8" s="4" t="s">
        <v>123</v>
      </c>
      <c r="E8" s="4" t="s">
        <v>38</v>
      </c>
      <c r="F8" s="4" t="s">
        <v>39</v>
      </c>
      <c r="G8" s="13" t="s">
        <v>65</v>
      </c>
      <c r="H8" s="15" t="s">
        <v>346</v>
      </c>
    </row>
    <row r="9" spans="1:8" ht="21" x14ac:dyDescent="0.4">
      <c r="A9" s="8">
        <v>660052</v>
      </c>
      <c r="B9" s="4" t="s">
        <v>21</v>
      </c>
      <c r="C9" s="4" t="s">
        <v>110</v>
      </c>
      <c r="D9" s="4" t="s">
        <v>111</v>
      </c>
      <c r="E9" s="4" t="s">
        <v>112</v>
      </c>
      <c r="F9" s="4" t="s">
        <v>39</v>
      </c>
      <c r="G9" s="13" t="s">
        <v>65</v>
      </c>
      <c r="H9" s="15" t="s">
        <v>346</v>
      </c>
    </row>
    <row r="10" spans="1:8" ht="21" hidden="1" x14ac:dyDescent="0.4">
      <c r="A10" s="8">
        <v>490147</v>
      </c>
      <c r="B10" s="4" t="s">
        <v>21</v>
      </c>
      <c r="C10" s="4" t="s">
        <v>277</v>
      </c>
      <c r="D10" s="4" t="s">
        <v>278</v>
      </c>
      <c r="E10" s="4" t="s">
        <v>279</v>
      </c>
      <c r="F10" s="4" t="s">
        <v>39</v>
      </c>
      <c r="G10" s="13" t="s">
        <v>65</v>
      </c>
      <c r="H10" s="15" t="s">
        <v>346</v>
      </c>
    </row>
    <row r="11" spans="1:8" ht="21" hidden="1" x14ac:dyDescent="0.4">
      <c r="A11" s="8">
        <v>410054</v>
      </c>
      <c r="B11" s="4" t="s">
        <v>21</v>
      </c>
      <c r="C11" s="4" t="s">
        <v>269</v>
      </c>
      <c r="D11" s="4" t="s">
        <v>327</v>
      </c>
      <c r="E11" s="4" t="s">
        <v>279</v>
      </c>
      <c r="F11" s="4" t="s">
        <v>39</v>
      </c>
      <c r="G11" s="14" t="s">
        <v>345</v>
      </c>
      <c r="H11" s="10" t="s">
        <v>65</v>
      </c>
    </row>
    <row r="12" spans="1:8" ht="21" hidden="1" x14ac:dyDescent="0.4">
      <c r="A12" s="8">
        <v>540208</v>
      </c>
      <c r="B12" s="4" t="s">
        <v>21</v>
      </c>
      <c r="C12" s="4" t="s">
        <v>212</v>
      </c>
      <c r="D12" s="4" t="s">
        <v>213</v>
      </c>
      <c r="E12" s="4" t="s">
        <v>214</v>
      </c>
      <c r="F12" s="4" t="s">
        <v>39</v>
      </c>
      <c r="G12" s="13" t="s">
        <v>65</v>
      </c>
      <c r="H12" s="15" t="s">
        <v>346</v>
      </c>
    </row>
    <row r="13" spans="1:8" ht="21" hidden="1" x14ac:dyDescent="0.4">
      <c r="A13" s="8">
        <v>650024</v>
      </c>
      <c r="B13" s="4" t="s">
        <v>21</v>
      </c>
      <c r="C13" s="4" t="s">
        <v>134</v>
      </c>
      <c r="D13" s="4" t="s">
        <v>135</v>
      </c>
      <c r="E13" s="4" t="s">
        <v>136</v>
      </c>
      <c r="F13" s="4" t="s">
        <v>39</v>
      </c>
      <c r="G13" s="13" t="s">
        <v>65</v>
      </c>
      <c r="H13" s="15" t="s">
        <v>346</v>
      </c>
    </row>
    <row r="14" spans="1:8" ht="21" hidden="1" x14ac:dyDescent="0.4">
      <c r="A14" s="8">
        <v>640062</v>
      </c>
      <c r="B14" s="4" t="s">
        <v>21</v>
      </c>
      <c r="C14" s="4" t="s">
        <v>295</v>
      </c>
      <c r="D14" s="4" t="s">
        <v>296</v>
      </c>
      <c r="E14" s="4" t="s">
        <v>136</v>
      </c>
      <c r="F14" s="4" t="s">
        <v>39</v>
      </c>
      <c r="G14" s="13" t="s">
        <v>65</v>
      </c>
      <c r="H14" s="15" t="s">
        <v>346</v>
      </c>
    </row>
    <row r="15" spans="1:8" ht="21" hidden="1" x14ac:dyDescent="0.4">
      <c r="A15" s="8">
        <v>550057</v>
      </c>
      <c r="B15" s="4" t="s">
        <v>106</v>
      </c>
      <c r="C15" s="4" t="s">
        <v>280</v>
      </c>
      <c r="D15" s="4" t="s">
        <v>281</v>
      </c>
      <c r="E15" s="4" t="s">
        <v>282</v>
      </c>
      <c r="F15" s="4" t="s">
        <v>39</v>
      </c>
      <c r="G15" s="13" t="s">
        <v>65</v>
      </c>
      <c r="H15" s="15" t="s">
        <v>346</v>
      </c>
    </row>
    <row r="16" spans="1:8" ht="21" hidden="1" x14ac:dyDescent="0.4">
      <c r="A16" s="8">
        <v>490058</v>
      </c>
      <c r="B16" s="4" t="s">
        <v>21</v>
      </c>
      <c r="C16" s="4" t="s">
        <v>225</v>
      </c>
      <c r="D16" s="4" t="s">
        <v>226</v>
      </c>
      <c r="E16" s="4" t="s">
        <v>227</v>
      </c>
      <c r="F16" s="4" t="s">
        <v>39</v>
      </c>
      <c r="G16" s="13" t="s">
        <v>65</v>
      </c>
      <c r="H16" s="15" t="s">
        <v>346</v>
      </c>
    </row>
    <row r="17" spans="1:8" ht="21" x14ac:dyDescent="0.4">
      <c r="A17" s="8">
        <v>600122</v>
      </c>
      <c r="B17" s="4" t="s">
        <v>21</v>
      </c>
      <c r="C17" s="4" t="s">
        <v>137</v>
      </c>
      <c r="D17" s="4" t="s">
        <v>138</v>
      </c>
      <c r="E17" s="4" t="s">
        <v>139</v>
      </c>
      <c r="F17" s="4" t="s">
        <v>39</v>
      </c>
      <c r="G17" s="13" t="s">
        <v>65</v>
      </c>
      <c r="H17" s="15" t="s">
        <v>346</v>
      </c>
    </row>
    <row r="18" spans="1:8" ht="21" x14ac:dyDescent="0.4">
      <c r="A18" s="8">
        <v>610040</v>
      </c>
      <c r="B18" s="4" t="s">
        <v>21</v>
      </c>
      <c r="C18" s="4" t="s">
        <v>267</v>
      </c>
      <c r="D18" s="4" t="s">
        <v>268</v>
      </c>
      <c r="E18" s="4" t="s">
        <v>139</v>
      </c>
      <c r="F18" s="4" t="s">
        <v>39</v>
      </c>
      <c r="G18" s="13" t="s">
        <v>65</v>
      </c>
      <c r="H18" s="15" t="s">
        <v>346</v>
      </c>
    </row>
    <row r="19" spans="1:8" ht="21" hidden="1" x14ac:dyDescent="0.4">
      <c r="A19" s="8">
        <v>360098</v>
      </c>
      <c r="B19" s="4" t="s">
        <v>21</v>
      </c>
      <c r="C19" s="4" t="s">
        <v>83</v>
      </c>
      <c r="D19" s="4" t="s">
        <v>84</v>
      </c>
      <c r="E19" s="4" t="s">
        <v>85</v>
      </c>
      <c r="F19" s="4" t="s">
        <v>39</v>
      </c>
      <c r="G19" s="13" t="s">
        <v>65</v>
      </c>
      <c r="H19" s="15" t="s">
        <v>346</v>
      </c>
    </row>
  </sheetData>
  <autoFilter ref="A2:H19" xr:uid="{941B6B75-535B-48BD-95FA-2CCEF28CFB90}">
    <filterColumn colId="4">
      <filters>
        <filter val="กผ.ทผก."/>
        <filter val="คพ.ทผก."/>
        <filter val="ทน.ทผก."/>
        <filter val="วผ.ทผก."/>
      </filters>
    </filterColumn>
    <sortState xmlns:xlrd2="http://schemas.microsoft.com/office/spreadsheetml/2017/richdata2" ref="A3:H19">
      <sortCondition ref="E2"/>
    </sortState>
  </autoFilter>
  <conditionalFormatting sqref="A1:A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รวม</vt:lpstr>
      <vt:lpstr>ปผ.ยรก.</vt:lpstr>
      <vt:lpstr>ปอ.ยรก.</vt:lpstr>
      <vt:lpstr>ปต.ยยก.</vt:lpstr>
      <vt:lpstr>ปล.ยยก.</vt:lpstr>
      <vt:lpstr>ปก.สยก.</vt:lpstr>
      <vt:lpstr>คธ.สยก.</vt:lpstr>
      <vt:lpstr>บฟ.วบก.</vt:lpstr>
      <vt:lpstr>บง.วบก.</vt:lpstr>
      <vt:lpstr>บค.วบก.</vt:lpstr>
      <vt:lpstr>ตร.วบก.</vt:lpstr>
      <vt:lpstr>วก.วบก.</vt:lpstr>
      <vt:lpstr>ซญ.วบก.</vt:lpstr>
      <vt:lpstr>ผบ.วบก.</vt:lpstr>
      <vt:lpstr>วป.วบก.</vt:lpstr>
      <vt:lpstr>ปภ.ผยก.</vt:lpstr>
      <vt:lpstr>บรก.</vt:lpstr>
      <vt:lpstr>ทผก.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SORNRANAN VUTTIKARNKOSOL</dc:creator>
  <cp:lastModifiedBy>SORNRANAN VUTTIKARNKOSOL</cp:lastModifiedBy>
  <dcterms:created xsi:type="dcterms:W3CDTF">2026-03-02T03:32:31Z</dcterms:created>
  <dcterms:modified xsi:type="dcterms:W3CDTF">2026-10-25T10:33:47Z</dcterms:modified>
</cp:coreProperties>
</file>